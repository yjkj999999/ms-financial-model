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drawings/drawing2.xml" ContentType="application/vnd.openxmlformats-officedocument.drawing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估值模型" sheetId="1" state="visible" r:id="rId1"/>
    <sheet xmlns:r="http://schemas.openxmlformats.org/officeDocument/2006/relationships" name="关键运营指标" sheetId="2" state="visible" r:id="rId2"/>
    <sheet xmlns:r="http://schemas.openxmlformats.org/officeDocument/2006/relationships" name="WACC拆解" sheetId="3" state="visible" r:id="rId3"/>
    <sheet xmlns:r="http://schemas.openxmlformats.org/officeDocument/2006/relationships" name="熊市DCF" sheetId="4" state="visible" r:id="rId4"/>
    <sheet xmlns:r="http://schemas.openxmlformats.org/officeDocument/2006/relationships" name="基准DCF" sheetId="5" state="visible" r:id="rId5"/>
    <sheet xmlns:r="http://schemas.openxmlformats.org/officeDocument/2006/relationships" name="牛市DCF" sheetId="6" state="visible" r:id="rId6"/>
    <sheet xmlns:r="http://schemas.openxmlformats.org/officeDocument/2006/relationships" name="敏感性分析" sheetId="7" state="visible" r:id="rId7"/>
    <sheet xmlns:r="http://schemas.openxmlformats.org/officeDocument/2006/relationships" name="SOTP" sheetId="8" state="visible" r:id="rId8"/>
    <sheet xmlns:r="http://schemas.openxmlformats.org/officeDocument/2006/relationships" name="可比公司分析" sheetId="9" state="visible" r:id="rId9"/>
    <sheet xmlns:r="http://schemas.openxmlformats.org/officeDocument/2006/relationships" name="PE Band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6">
    <numFmt numFmtId="164" formatCode="$#,##0"/>
    <numFmt numFmtId="165" formatCode="#,##0.0"/>
    <numFmt numFmtId="166" formatCode="0.0%"/>
    <numFmt numFmtId="167" formatCode="0.0&quot;x&quot;"/>
    <numFmt numFmtId="168" formatCode="$#,##0.0"/>
    <numFmt numFmtId="169" formatCode="0.00&quot;x&quot;"/>
  </numFmts>
  <fonts count="19">
    <font>
      <name val="Calibri"/>
      <family val="2"/>
      <color theme="1"/>
      <sz val="11"/>
      <scheme val="minor"/>
    </font>
    <font>
      <name val="Microsoft YaHei"/>
      <b val="1"/>
      <color rgb="001F3864"/>
      <sz val="20"/>
    </font>
    <font>
      <name val="Microsoft YaHei"/>
      <b val="1"/>
      <color rgb="00C9A227"/>
      <sz val="14"/>
    </font>
    <font>
      <name val="Microsoft YaHei"/>
      <i val="1"/>
      <color rgb="00404040"/>
      <sz val="12"/>
    </font>
    <font>
      <name val="Microsoft YaHei"/>
      <color rgb="00000000"/>
      <sz val="9"/>
    </font>
    <font>
      <name val="Microsoft YaHei"/>
      <color rgb="002F75B6"/>
      <sz val="9"/>
    </font>
    <font>
      <name val="Microsoft YaHei"/>
      <b val="1"/>
      <color rgb="001F3864"/>
      <sz val="12"/>
    </font>
    <font>
      <name val="Microsoft YaHei"/>
      <b val="1"/>
      <color rgb="00FFFFFF"/>
      <sz val="10"/>
    </font>
    <font>
      <name val="Microsoft YaHei"/>
      <color rgb="00595959"/>
      <sz val="9"/>
    </font>
    <font>
      <name val="Microsoft YaHei"/>
      <color rgb="00595959"/>
      <sz val="8"/>
    </font>
    <font>
      <name val="Microsoft YaHei"/>
      <b val="1"/>
      <color rgb="001F3864"/>
      <sz val="14"/>
    </font>
    <font>
      <name val="Microsoft YaHei"/>
      <color rgb="00006100"/>
      <sz val="9"/>
    </font>
    <font>
      <name val="Microsoft YaHei"/>
      <b val="1"/>
      <color rgb="001F3864"/>
      <sz val="10"/>
    </font>
    <font>
      <name val="Microsoft YaHei"/>
      <b val="1"/>
      <color rgb="00000000"/>
      <sz val="9"/>
    </font>
    <font>
      <name val="Microsoft YaHei"/>
      <b val="1"/>
      <color rgb="001F3864"/>
      <sz val="11"/>
    </font>
    <font>
      <name val="Microsoft YaHei"/>
      <b val="1"/>
      <color rgb="00843C0C"/>
      <sz val="14"/>
    </font>
    <font>
      <name val="Microsoft YaHei"/>
      <color rgb="00C00000"/>
      <sz val="9"/>
    </font>
    <font>
      <name val="Microsoft YaHei"/>
      <b val="1"/>
      <color rgb="00375623"/>
      <sz val="14"/>
    </font>
    <font>
      <name val="Microsoft YaHei"/>
      <b val="1"/>
      <color rgb="00FFFFFF"/>
      <sz val="11"/>
    </font>
  </fonts>
  <fills count="14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F2F2F2"/>
      </patternFill>
    </fill>
    <fill>
      <patternFill patternType="solid">
        <fgColor rgb="00FFFFFF"/>
      </patternFill>
    </fill>
    <fill>
      <patternFill patternType="solid">
        <fgColor rgb="001F3864"/>
      </patternFill>
    </fill>
    <fill>
      <patternFill patternType="solid">
        <fgColor rgb="00FCE4D6"/>
      </patternFill>
    </fill>
    <fill>
      <patternFill patternType="solid">
        <fgColor rgb="00E2EFDA"/>
      </patternFill>
    </fill>
    <fill>
      <patternFill patternType="solid">
        <fgColor rgb="00DDEEFF"/>
      </patternFill>
    </fill>
    <fill>
      <patternFill patternType="solid">
        <fgColor rgb="00E8EEF4"/>
      </patternFill>
    </fill>
    <fill>
      <patternFill patternType="solid">
        <fgColor rgb="00FFF2CC"/>
      </patternFill>
    </fill>
    <fill>
      <patternFill patternType="solid">
        <fgColor rgb="00D9E1F2"/>
      </patternFill>
    </fill>
    <fill>
      <patternFill patternType="solid">
        <fgColor rgb="00FFFF00"/>
      </patternFill>
    </fill>
    <fill>
      <patternFill patternType="solid">
        <fgColor rgb="00C9A227"/>
      </patternFill>
    </fill>
  </fills>
  <borders count="9">
    <border>
      <left/>
      <right/>
      <top/>
      <bottom/>
      <diagonal/>
    </border>
    <border>
      <left style="thin">
        <color rgb="001F3864"/>
      </left>
      <right style="thin">
        <color rgb="001F3864"/>
      </right>
      <top style="thin">
        <color rgb="001F3864"/>
      </top>
      <bottom style="medium">
        <color rgb="001F3864"/>
      </bottom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/>
      <right/>
      <top style="thin">
        <color rgb="001F3864"/>
      </top>
      <bottom/>
      <diagonal/>
    </border>
    <border>
      <left/>
      <right style="thin">
        <color rgb="001F3864"/>
      </right>
      <top style="thin">
        <color rgb="001F3864"/>
      </top>
      <bottom/>
      <diagonal/>
    </border>
    <border>
      <left/>
      <right/>
      <top style="thin">
        <color rgb="001F3864"/>
      </top>
      <bottom style="medium">
        <color rgb="001F3864"/>
      </bottom>
      <diagonal/>
    </border>
    <border>
      <left/>
      <right style="thin">
        <color rgb="001F3864"/>
      </right>
      <top style="thin">
        <color rgb="001F3864"/>
      </top>
      <bottom style="medium">
        <color rgb="001F3864"/>
      </bottom>
      <diagonal/>
    </border>
    <border>
      <left style="thin">
        <color rgb="00D9D9D9"/>
      </left>
      <right style="medium">
        <color rgb="001F3864"/>
      </right>
      <top style="thin">
        <color rgb="00D9D9D9"/>
      </top>
      <bottom style="thin">
        <color rgb="00D9D9D9"/>
      </bottom>
    </border>
    <border>
      <bottom style="medium">
        <color rgb="00000000"/>
      </bottom>
    </border>
  </borders>
  <cellStyleXfs count="1">
    <xf numFmtId="0" fontId="0" fillId="0" borderId="0"/>
  </cellStyleXfs>
  <cellXfs count="127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left" vertical="center" wrapText="1"/>
    </xf>
    <xf numFmtId="0" fontId="6" fillId="0" borderId="0" applyAlignment="1" pivotButton="0" quotePrefix="0" xfId="0">
      <alignment horizontal="left" vertical="center" wrapText="1"/>
    </xf>
    <xf numFmtId="0" fontId="7" fillId="2" borderId="1" applyAlignment="1" pivotButton="0" quotePrefix="0" xfId="0">
      <alignment horizontal="center" vertical="center" wrapText="1"/>
    </xf>
    <xf numFmtId="0" fontId="4" fillId="3" borderId="2" applyAlignment="1" pivotButton="0" quotePrefix="0" xfId="0">
      <alignment horizontal="left" vertical="center" wrapText="1"/>
    </xf>
    <xf numFmtId="0" fontId="8" fillId="3" borderId="2" applyAlignment="1" pivotButton="0" quotePrefix="0" xfId="0">
      <alignment horizontal="left" vertical="center" wrapText="1"/>
    </xf>
    <xf numFmtId="164" fontId="5" fillId="3" borderId="2" applyAlignment="1" pivotButton="0" quotePrefix="0" xfId="0">
      <alignment horizontal="right" vertical="center"/>
    </xf>
    <xf numFmtId="0" fontId="4" fillId="4" borderId="2" applyAlignment="1" pivotButton="0" quotePrefix="0" xfId="0">
      <alignment horizontal="left" vertical="center" wrapText="1"/>
    </xf>
    <xf numFmtId="0" fontId="8" fillId="4" borderId="2" applyAlignment="1" pivotButton="0" quotePrefix="0" xfId="0">
      <alignment horizontal="left" vertical="center" wrapText="1"/>
    </xf>
    <xf numFmtId="164" fontId="5" fillId="4" borderId="2" applyAlignment="1" pivotButton="0" quotePrefix="0" xfId="0">
      <alignment horizontal="right" vertical="center"/>
    </xf>
    <xf numFmtId="0" fontId="7" fillId="5" borderId="1" applyAlignment="1" pivotButton="0" quotePrefix="0" xfId="0">
      <alignment horizontal="center" vertical="center" wrapText="1"/>
    </xf>
    <xf numFmtId="166" fontId="4" fillId="6" borderId="2" applyAlignment="1" pivotButton="0" quotePrefix="0" xfId="0">
      <alignment horizontal="center" vertical="center" wrapText="1"/>
    </xf>
    <xf numFmtId="166" fontId="4" fillId="7" borderId="2" applyAlignment="1" pivotButton="0" quotePrefix="0" xfId="0">
      <alignment horizontal="center" vertical="center" wrapText="1"/>
    </xf>
    <xf numFmtId="166" fontId="4" fillId="8" borderId="2" applyAlignment="1" pivotButton="0" quotePrefix="0" xfId="0">
      <alignment horizontal="center" vertical="center" wrapText="1"/>
    </xf>
    <xf numFmtId="167" fontId="4" fillId="6" borderId="2" applyAlignment="1" pivotButton="0" quotePrefix="0" xfId="0">
      <alignment horizontal="center" vertical="center" wrapText="1"/>
    </xf>
    <xf numFmtId="167" fontId="4" fillId="7" borderId="2" applyAlignment="1" pivotButton="0" quotePrefix="0" xfId="0">
      <alignment horizontal="center" vertical="center" wrapText="1"/>
    </xf>
    <xf numFmtId="167" fontId="4" fillId="8" borderId="2" applyAlignment="1" pivotButton="0" quotePrefix="0" xfId="0">
      <alignment horizontal="center" vertical="center" wrapText="1"/>
    </xf>
    <xf numFmtId="164" fontId="4" fillId="6" borderId="2" applyAlignment="1" pivotButton="0" quotePrefix="0" xfId="0">
      <alignment horizontal="center" vertical="center" wrapText="1"/>
    </xf>
    <xf numFmtId="164" fontId="4" fillId="7" borderId="2" applyAlignment="1" pivotButton="0" quotePrefix="0" xfId="0">
      <alignment horizontal="center" vertical="center" wrapText="1"/>
    </xf>
    <xf numFmtId="164" fontId="4" fillId="8" borderId="2" applyAlignment="1" pivotButton="0" quotePrefix="0" xfId="0">
      <alignment horizontal="center" vertical="center" wrapText="1"/>
    </xf>
    <xf numFmtId="168" fontId="4" fillId="6" borderId="2" applyAlignment="1" pivotButton="0" quotePrefix="0" xfId="0">
      <alignment horizontal="center" vertical="center" wrapText="1"/>
    </xf>
    <xf numFmtId="168" fontId="4" fillId="7" borderId="2" applyAlignment="1" pivotButton="0" quotePrefix="0" xfId="0">
      <alignment horizontal="center" vertical="center" wrapText="1"/>
    </xf>
    <xf numFmtId="168" fontId="4" fillId="8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left" vertical="center" wrapText="1"/>
    </xf>
    <xf numFmtId="168" fontId="4" fillId="12" borderId="2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left" vertical="center" wrapText="1"/>
    </xf>
    <xf numFmtId="0" fontId="10" fillId="0" borderId="0" applyAlignment="1" pivotButton="0" quotePrefix="0" xfId="0">
      <alignment horizontal="left" vertical="center" wrapText="1"/>
    </xf>
    <xf numFmtId="0" fontId="0" fillId="0" borderId="5" pivotButton="0" quotePrefix="0" xfId="0"/>
    <xf numFmtId="0" fontId="0" fillId="0" borderId="6" pivotButton="0" quotePrefix="0" xfId="0"/>
    <xf numFmtId="0" fontId="8" fillId="3" borderId="2" applyAlignment="1" pivotButton="0" quotePrefix="0" xfId="0">
      <alignment horizontal="center" vertical="center" wrapText="1"/>
    </xf>
    <xf numFmtId="3" fontId="11" fillId="3" borderId="2" applyAlignment="1" pivotButton="0" quotePrefix="0" xfId="0">
      <alignment horizontal="right" vertical="center"/>
    </xf>
    <xf numFmtId="3" fontId="11" fillId="3" borderId="7" applyAlignment="1" pivotButton="0" quotePrefix="0" xfId="0">
      <alignment horizontal="right" vertical="center"/>
    </xf>
    <xf numFmtId="3" fontId="5" fillId="3" borderId="2" applyAlignment="1" pivotButton="0" quotePrefix="0" xfId="0">
      <alignment horizontal="right" vertical="center"/>
    </xf>
    <xf numFmtId="0" fontId="8" fillId="4" borderId="2" applyAlignment="1" pivotButton="0" quotePrefix="0" xfId="0">
      <alignment horizontal="center" vertical="center" wrapText="1"/>
    </xf>
    <xf numFmtId="165" fontId="11" fillId="4" borderId="2" applyAlignment="1" pivotButton="0" quotePrefix="0" xfId="0">
      <alignment horizontal="right" vertical="center"/>
    </xf>
    <xf numFmtId="165" fontId="11" fillId="4" borderId="7" applyAlignment="1" pivotButton="0" quotePrefix="0" xfId="0">
      <alignment horizontal="right" vertical="center"/>
    </xf>
    <xf numFmtId="165" fontId="5" fillId="4" borderId="2" applyAlignment="1" pivotButton="0" quotePrefix="0" xfId="0">
      <alignment horizontal="right" vertical="center"/>
    </xf>
    <xf numFmtId="165" fontId="11" fillId="3" borderId="2" applyAlignment="1" pivotButton="0" quotePrefix="0" xfId="0">
      <alignment horizontal="right" vertical="center"/>
    </xf>
    <xf numFmtId="165" fontId="11" fillId="3" borderId="7" applyAlignment="1" pivotButton="0" quotePrefix="0" xfId="0">
      <alignment horizontal="right" vertical="center"/>
    </xf>
    <xf numFmtId="165" fontId="5" fillId="3" borderId="2" applyAlignment="1" pivotButton="0" quotePrefix="0" xfId="0">
      <alignment horizontal="right" vertical="center"/>
    </xf>
    <xf numFmtId="0" fontId="7" fillId="5" borderId="2" applyAlignment="1" pivotButton="0" quotePrefix="0" xfId="0">
      <alignment horizontal="center" vertical="center" wrapText="1"/>
    </xf>
    <xf numFmtId="0" fontId="12" fillId="9" borderId="2" applyAlignment="1" pivotButton="0" quotePrefix="0" xfId="0">
      <alignment horizontal="left" vertical="center" wrapText="1"/>
    </xf>
    <xf numFmtId="0" fontId="0" fillId="0" borderId="2" pivotButton="0" quotePrefix="0" xfId="0"/>
    <xf numFmtId="166" fontId="5" fillId="10" borderId="2" applyAlignment="1" pivotButton="0" quotePrefix="0" xfId="0">
      <alignment horizontal="right" vertical="center"/>
    </xf>
    <xf numFmtId="2" fontId="5" fillId="10" borderId="2" applyAlignment="1" pivotButton="0" quotePrefix="0" xfId="0">
      <alignment horizontal="right" vertical="center"/>
    </xf>
    <xf numFmtId="0" fontId="13" fillId="11" borderId="2" applyAlignment="1" pivotButton="0" quotePrefix="0" xfId="0">
      <alignment horizontal="left" vertical="center" wrapText="1"/>
    </xf>
    <xf numFmtId="10" fontId="13" fillId="11" borderId="2" applyAlignment="1" pivotButton="0" quotePrefix="0" xfId="0">
      <alignment horizontal="right" vertical="center"/>
    </xf>
    <xf numFmtId="10" fontId="4" fillId="0" borderId="2" applyAlignment="1" pivotButton="0" quotePrefix="0" xfId="0">
      <alignment horizontal="right" vertical="center"/>
    </xf>
    <xf numFmtId="166" fontId="4" fillId="0" borderId="2" applyAlignment="1" pivotButton="0" quotePrefix="0" xfId="0">
      <alignment horizontal="right" vertical="center"/>
    </xf>
    <xf numFmtId="0" fontId="14" fillId="12" borderId="2" applyAlignment="1" pivotButton="0" quotePrefix="0" xfId="0">
      <alignment horizontal="left" vertical="center" wrapText="1"/>
    </xf>
    <xf numFmtId="10" fontId="14" fillId="12" borderId="2" applyAlignment="1" pivotButton="0" quotePrefix="0" xfId="0">
      <alignment horizontal="right" vertical="center"/>
    </xf>
    <xf numFmtId="0" fontId="15" fillId="0" borderId="0" applyAlignment="1" pivotButton="0" quotePrefix="0" xfId="0">
      <alignment horizontal="left" vertical="center" wrapText="1"/>
    </xf>
    <xf numFmtId="164" fontId="11" fillId="3" borderId="2" applyAlignment="1" pivotButton="0" quotePrefix="0" xfId="0">
      <alignment horizontal="right" vertical="center"/>
    </xf>
    <xf numFmtId="164" fontId="4" fillId="0" borderId="2" applyAlignment="1" pivotButton="0" quotePrefix="0" xfId="0">
      <alignment horizontal="right" vertical="center"/>
    </xf>
    <xf numFmtId="164" fontId="11" fillId="4" borderId="2" applyAlignment="1" pivotButton="0" quotePrefix="0" xfId="0">
      <alignment horizontal="right" vertical="center"/>
    </xf>
    <xf numFmtId="164" fontId="13" fillId="11" borderId="2" applyAlignment="1" pivotButton="0" quotePrefix="0" xfId="0">
      <alignment horizontal="right" vertical="center"/>
    </xf>
    <xf numFmtId="166" fontId="8" fillId="3" borderId="2" applyAlignment="1" pivotButton="0" quotePrefix="0" xfId="0">
      <alignment horizontal="right" vertical="center"/>
    </xf>
    <xf numFmtId="0" fontId="5" fillId="10" borderId="2" applyAlignment="1" pivotButton="0" quotePrefix="0" xfId="0">
      <alignment horizontal="left" vertical="center" wrapText="1"/>
    </xf>
    <xf numFmtId="166" fontId="11" fillId="0" borderId="2" applyAlignment="1" pivotButton="0" quotePrefix="0" xfId="0">
      <alignment horizontal="right" vertical="center"/>
    </xf>
    <xf numFmtId="164" fontId="11" fillId="0" borderId="2" applyAlignment="1" pivotButton="0" quotePrefix="0" xfId="0">
      <alignment horizontal="right" vertical="center"/>
    </xf>
    <xf numFmtId="0" fontId="16" fillId="6" borderId="2" applyAlignment="1" pivotButton="0" quotePrefix="0" xfId="0">
      <alignment horizontal="left" vertical="center" wrapText="1"/>
    </xf>
    <xf numFmtId="164" fontId="16" fillId="6" borderId="2" applyAlignment="1" pivotButton="0" quotePrefix="0" xfId="0">
      <alignment horizontal="right" vertical="center"/>
    </xf>
    <xf numFmtId="0" fontId="13" fillId="7" borderId="2" applyAlignment="1" pivotButton="0" quotePrefix="0" xfId="0">
      <alignment horizontal="left" vertical="center" wrapText="1"/>
    </xf>
    <xf numFmtId="164" fontId="13" fillId="7" borderId="2" applyAlignment="1" pivotButton="0" quotePrefix="0" xfId="0">
      <alignment horizontal="right" vertical="center"/>
    </xf>
    <xf numFmtId="167" fontId="5" fillId="10" borderId="2" applyAlignment="1" pivotButton="0" quotePrefix="0" xfId="0">
      <alignment horizontal="right" vertical="center"/>
    </xf>
    <xf numFmtId="3" fontId="5" fillId="10" borderId="2" applyAlignment="1" pivotButton="0" quotePrefix="0" xfId="0">
      <alignment horizontal="right" vertical="center"/>
    </xf>
    <xf numFmtId="164" fontId="5" fillId="10" borderId="2" applyAlignment="1" pivotButton="0" quotePrefix="0" xfId="0">
      <alignment horizontal="right" vertical="center"/>
    </xf>
    <xf numFmtId="10" fontId="5" fillId="10" borderId="2" applyAlignment="1" pivotButton="0" quotePrefix="0" xfId="0">
      <alignment horizontal="right" vertical="center"/>
    </xf>
    <xf numFmtId="0" fontId="9" fillId="0" borderId="2" applyAlignment="1" pivotButton="0" quotePrefix="0" xfId="0">
      <alignment horizontal="left" vertical="center" wrapText="1"/>
    </xf>
    <xf numFmtId="0" fontId="12" fillId="12" borderId="2" applyAlignment="1" pivotButton="0" quotePrefix="0" xfId="0">
      <alignment horizontal="left" vertical="center" wrapText="1"/>
    </xf>
    <xf numFmtId="164" fontId="12" fillId="12" borderId="2" applyAlignment="1" pivotButton="0" quotePrefix="0" xfId="0">
      <alignment horizontal="right" vertical="center"/>
    </xf>
    <xf numFmtId="168" fontId="14" fillId="12" borderId="2" applyAlignment="1" pivotButton="0" quotePrefix="0" xfId="0">
      <alignment horizontal="right" vertical="center"/>
    </xf>
    <xf numFmtId="167" fontId="4" fillId="0" borderId="2" applyAlignment="1" pivotButton="0" quotePrefix="0" xfId="0">
      <alignment horizontal="right" vertical="center"/>
    </xf>
    <xf numFmtId="0" fontId="17" fillId="0" borderId="0" applyAlignment="1" pivotButton="0" quotePrefix="0" xfId="0">
      <alignment horizontal="left" vertical="center" wrapText="1"/>
    </xf>
    <xf numFmtId="166" fontId="0" fillId="0" borderId="0" pivotButton="0" quotePrefix="0" xfId="0"/>
    <xf numFmtId="0" fontId="14" fillId="0" borderId="0" applyAlignment="1" pivotButton="0" quotePrefix="0" xfId="0">
      <alignment horizontal="left" vertical="center" wrapText="1"/>
    </xf>
    <xf numFmtId="166" fontId="7" fillId="5" borderId="1" applyAlignment="1" pivotButton="0" quotePrefix="0" xfId="0">
      <alignment horizontal="center" vertical="center" wrapText="1"/>
    </xf>
    <xf numFmtId="166" fontId="5" fillId="0" borderId="2" applyAlignment="1" pivotButton="0" quotePrefix="0" xfId="0">
      <alignment horizontal="center" vertical="center" wrapText="1"/>
    </xf>
    <xf numFmtId="164" fontId="4" fillId="12" borderId="2" applyAlignment="1" pivotButton="0" quotePrefix="0" xfId="0">
      <alignment horizontal="right" vertical="center"/>
    </xf>
    <xf numFmtId="168" fontId="4" fillId="0" borderId="2" applyAlignment="1" pivotButton="0" quotePrefix="0" xfId="0">
      <alignment horizontal="right" vertical="center"/>
    </xf>
    <xf numFmtId="168" fontId="4" fillId="12" borderId="2" applyAlignment="1" pivotButton="0" quotePrefix="0" xfId="0">
      <alignment horizontal="right" vertical="center"/>
    </xf>
    <xf numFmtId="167" fontId="7" fillId="5" borderId="1" applyAlignment="1" pivotButton="0" quotePrefix="0" xfId="0">
      <alignment horizontal="center" vertical="center" wrapText="1"/>
    </xf>
    <xf numFmtId="166" fontId="4" fillId="6" borderId="2" applyAlignment="1" pivotButton="0" quotePrefix="0" xfId="0">
      <alignment horizontal="right" vertical="center"/>
    </xf>
    <xf numFmtId="166" fontId="4" fillId="7" borderId="2" applyAlignment="1" pivotButton="0" quotePrefix="0" xfId="0">
      <alignment horizontal="right" vertical="center"/>
    </xf>
    <xf numFmtId="166" fontId="4" fillId="8" borderId="2" applyAlignment="1" pivotButton="0" quotePrefix="0" xfId="0">
      <alignment horizontal="right" vertical="center"/>
    </xf>
    <xf numFmtId="10" fontId="4" fillId="6" borderId="2" applyAlignment="1" pivotButton="0" quotePrefix="0" xfId="0">
      <alignment horizontal="right" vertical="center"/>
    </xf>
    <xf numFmtId="10" fontId="4" fillId="7" borderId="2" applyAlignment="1" pivotButton="0" quotePrefix="0" xfId="0">
      <alignment horizontal="right" vertical="center"/>
    </xf>
    <xf numFmtId="10" fontId="4" fillId="8" borderId="2" applyAlignment="1" pivotButton="0" quotePrefix="0" xfId="0">
      <alignment horizontal="right" vertical="center"/>
    </xf>
    <xf numFmtId="167" fontId="4" fillId="6" borderId="2" applyAlignment="1" pivotButton="0" quotePrefix="0" xfId="0">
      <alignment horizontal="right" vertical="center"/>
    </xf>
    <xf numFmtId="167" fontId="4" fillId="7" borderId="2" applyAlignment="1" pivotButton="0" quotePrefix="0" xfId="0">
      <alignment horizontal="right" vertical="center"/>
    </xf>
    <xf numFmtId="167" fontId="4" fillId="8" borderId="2" applyAlignment="1" pivotButton="0" quotePrefix="0" xfId="0">
      <alignment horizontal="right" vertical="center"/>
    </xf>
    <xf numFmtId="164" fontId="4" fillId="6" borderId="2" applyAlignment="1" pivotButton="0" quotePrefix="0" xfId="0">
      <alignment horizontal="right" vertical="center"/>
    </xf>
    <xf numFmtId="164" fontId="4" fillId="7" borderId="2" applyAlignment="1" pivotButton="0" quotePrefix="0" xfId="0">
      <alignment horizontal="right" vertical="center"/>
    </xf>
    <xf numFmtId="164" fontId="4" fillId="8" borderId="2" applyAlignment="1" pivotButton="0" quotePrefix="0" xfId="0">
      <alignment horizontal="right" vertical="center"/>
    </xf>
    <xf numFmtId="168" fontId="4" fillId="6" borderId="2" applyAlignment="1" pivotButton="0" quotePrefix="0" xfId="0">
      <alignment horizontal="right" vertical="center"/>
    </xf>
    <xf numFmtId="168" fontId="4" fillId="7" borderId="2" applyAlignment="1" pivotButton="0" quotePrefix="0" xfId="0">
      <alignment horizontal="right" vertical="center"/>
    </xf>
    <xf numFmtId="168" fontId="4" fillId="8" borderId="2" applyAlignment="1" pivotButton="0" quotePrefix="0" xfId="0">
      <alignment horizontal="right" vertical="center"/>
    </xf>
    <xf numFmtId="0" fontId="8" fillId="0" borderId="0" applyAlignment="1" pivotButton="0" quotePrefix="0" xfId="0">
      <alignment horizontal="left" vertical="center" wrapText="1"/>
    </xf>
    <xf numFmtId="164" fontId="4" fillId="3" borderId="2" applyAlignment="1" pivotButton="0" quotePrefix="0" xfId="0">
      <alignment horizontal="right" vertical="center"/>
    </xf>
    <xf numFmtId="0" fontId="4" fillId="3" borderId="2" applyAlignment="1" pivotButton="0" quotePrefix="0" xfId="0">
      <alignment horizontal="center" vertical="center" wrapText="1"/>
    </xf>
    <xf numFmtId="169" fontId="5" fillId="3" borderId="2" applyAlignment="1" pivotButton="0" quotePrefix="0" xfId="0">
      <alignment horizontal="right" vertical="center"/>
    </xf>
    <xf numFmtId="164" fontId="13" fillId="3" borderId="2" applyAlignment="1" pivotButton="0" quotePrefix="0" xfId="0">
      <alignment horizontal="right" vertical="center"/>
    </xf>
    <xf numFmtId="164" fontId="4" fillId="4" borderId="2" applyAlignment="1" pivotButton="0" quotePrefix="0" xfId="0">
      <alignment horizontal="right" vertical="center"/>
    </xf>
    <xf numFmtId="0" fontId="4" fillId="4" borderId="2" applyAlignment="1" pivotButton="0" quotePrefix="0" xfId="0">
      <alignment horizontal="center" vertical="center" wrapText="1"/>
    </xf>
    <xf numFmtId="169" fontId="5" fillId="4" borderId="2" applyAlignment="1" pivotButton="0" quotePrefix="0" xfId="0">
      <alignment horizontal="right" vertical="center"/>
    </xf>
    <xf numFmtId="164" fontId="13" fillId="4" borderId="2" applyAlignment="1" pivotButton="0" quotePrefix="0" xfId="0">
      <alignment horizontal="right" vertical="center"/>
    </xf>
    <xf numFmtId="0" fontId="12" fillId="13" borderId="2" applyAlignment="1" pivotButton="0" quotePrefix="0" xfId="0">
      <alignment horizontal="left" vertical="center" wrapText="1"/>
    </xf>
    <xf numFmtId="164" fontId="12" fillId="13" borderId="2" applyAlignment="1" pivotButton="0" quotePrefix="0" xfId="0">
      <alignment horizontal="right" vertical="center"/>
    </xf>
    <xf numFmtId="0" fontId="14" fillId="13" borderId="2" applyAlignment="1" pivotButton="0" quotePrefix="0" xfId="0">
      <alignment horizontal="left" vertical="center" wrapText="1"/>
    </xf>
    <xf numFmtId="168" fontId="14" fillId="13" borderId="2" applyAlignment="1" pivotButton="0" quotePrefix="0" xfId="0">
      <alignment horizontal="right" vertical="center"/>
    </xf>
    <xf numFmtId="0" fontId="18" fillId="2" borderId="1" applyAlignment="1" pivotButton="0" quotePrefix="0" xfId="0">
      <alignment horizontal="left" vertical="center" wrapText="1"/>
    </xf>
    <xf numFmtId="167" fontId="4" fillId="3" borderId="2" applyAlignment="1" pivotButton="0" quotePrefix="0" xfId="0">
      <alignment horizontal="right" vertical="center"/>
    </xf>
    <xf numFmtId="166" fontId="4" fillId="3" borderId="2" applyAlignment="1" pivotButton="0" quotePrefix="0" xfId="0">
      <alignment horizontal="right" vertical="center"/>
    </xf>
    <xf numFmtId="167" fontId="4" fillId="4" borderId="2" applyAlignment="1" pivotButton="0" quotePrefix="0" xfId="0">
      <alignment horizontal="right" vertical="center"/>
    </xf>
    <xf numFmtId="166" fontId="4" fillId="4" borderId="2" applyAlignment="1" pivotButton="0" quotePrefix="0" xfId="0">
      <alignment horizontal="right" vertical="center"/>
    </xf>
    <xf numFmtId="0" fontId="13" fillId="11" borderId="2" applyAlignment="1" pivotButton="0" quotePrefix="0" xfId="0">
      <alignment horizontal="right" vertical="center"/>
    </xf>
    <xf numFmtId="0" fontId="12" fillId="13" borderId="2" applyAlignment="1" pivotButton="0" quotePrefix="0" xfId="0">
      <alignment horizontal="right" vertical="center"/>
    </xf>
    <xf numFmtId="167" fontId="13" fillId="3" borderId="2" applyAlignment="1" pivotButton="0" quotePrefix="0" xfId="0">
      <alignment horizontal="right" vertical="center"/>
    </xf>
    <xf numFmtId="3" fontId="4" fillId="3" borderId="2" applyAlignment="1" pivotButton="0" quotePrefix="0" xfId="0">
      <alignment horizontal="right" vertical="center"/>
    </xf>
    <xf numFmtId="165" fontId="4" fillId="3" borderId="2" applyAlignment="1" pivotButton="0" quotePrefix="0" xfId="0">
      <alignment horizontal="right" vertical="center"/>
    </xf>
    <xf numFmtId="3" fontId="4" fillId="4" borderId="2" applyAlignment="1" pivotButton="0" quotePrefix="0" xfId="0">
      <alignment horizontal="right" vertical="center"/>
    </xf>
    <xf numFmtId="165" fontId="4" fillId="4" borderId="2" applyAlignment="1" pivotButton="0" quotePrefix="0" xfId="0">
      <alignment horizontal="right" vertical="center"/>
    </xf>
    <xf numFmtId="167" fontId="13" fillId="11" borderId="2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Revenue &amp; EBITDA ($M)</a:t>
            </a:r>
          </a:p>
        </rich>
      </tx>
      <txPr>
        <a:bodyPr xmlns:a="http://schemas.openxmlformats.org/drawingml/2006/main"/>
        <a:p xmlns:a="http://schemas.openxmlformats.org/drawingml/2006/main">
          <a:pPr>
            <a:defRPr sz="1200" b="1">
              <a:solidFill>
                <a:srgbClr val="1F3864"/>
              </a:solidFill>
            </a:defRPr>
          </a:pPr>
          <a:r>
            <a:t/>
          </a:r>
          <a:endParaRPr sz="1200" b="1">
            <a:solidFill>
              <a:srgbClr val="1F3864"/>
            </a:solidFill>
          </a:endParaRPr>
        </a:p>
      </txPr>
    </title>
    <plotArea>
      <barChart>
        <barDir val="col"/>
        <grouping val="clustered"/>
        <ser>
          <idx val="0"/>
          <order val="0"/>
          <tx>
            <v>Revenue ($M)</v>
          </tx>
          <spPr>
            <a:solidFill xmlns:a="http://schemas.openxmlformats.org/drawingml/2006/main">
              <a:srgbClr val="1F3864"/>
            </a:solidFill>
            <a:ln xmlns:a="http://schemas.openxmlformats.org/drawingml/2006/main">
              <a:prstDash val="solid"/>
            </a:ln>
          </spPr>
          <dLbls>
            <numFmt formatCode="#,##0"/>
            <txPr>
              <a:bodyPr xmlns:a="http://schemas.openxmlformats.org/drawingml/2006/main"/>
              <a:p xmlns:a="http://schemas.openxmlformats.org/drawingml/2006/main">
                <a:pPr>
                  <a:defRPr sz="800" b="1"/>
                </a:pPr>
                <a:r>
                  <a:t/>
                </a:r>
              </a:p>
            </txPr>
            <showVal val="1"/>
          </dLbls>
          <cat>
            <numRef>
              <f>'基准DCF'!$C$2:$L$2</f>
            </numRef>
          </cat>
          <val>
            <numRef>
              <f>'基准DCF'!$C$13:$L$13</f>
            </numRef>
          </val>
        </ser>
        <ser>
          <idx val="1"/>
          <order val="1"/>
          <tx>
            <v>EBITDA ($M)</v>
          </tx>
          <spPr>
            <a:solidFill xmlns:a="http://schemas.openxmlformats.org/drawingml/2006/main">
              <a:srgbClr val="2E75B6"/>
            </a:solidFill>
            <a:ln xmlns:a="http://schemas.openxmlformats.org/drawingml/2006/main">
              <a:prstDash val="solid"/>
            </a:ln>
          </spPr>
          <dLbls>
            <numFmt formatCode="#,##0"/>
            <txPr>
              <a:bodyPr xmlns:a="http://schemas.openxmlformats.org/drawingml/2006/main"/>
              <a:p xmlns:a="http://schemas.openxmlformats.org/drawingml/2006/main">
                <a:pPr>
                  <a:defRPr sz="800" b="1"/>
                </a:pPr>
                <a:r>
                  <a:t/>
                </a:r>
              </a:p>
            </txPr>
            <showVal val="1"/>
          </dLbls>
          <cat>
            <numRef>
              <f>'基准DCF'!$C$2:$L$2</f>
            </numRef>
          </cat>
          <val>
            <numRef>
              <f>'基准DCF'!$C$17:$L$17</f>
            </numRef>
          </val>
        </ser>
        <gapWidth val="8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$M</a:t>
                </a:r>
              </a:p>
            </rich>
          </tx>
        </title>
        <numFmt formatCode="#,##0" sourceLinked="0"/>
        <majorTickMark val="none"/>
        <minorTickMark val="none"/>
        <crossAx val="10"/>
      </valAx>
    </plotArea>
    <legend>
      <legendPos val="b"/>
      <txPr>
        <a:bodyPr xmlns:a="http://schemas.openxmlformats.org/drawingml/2006/main"/>
        <a:p xmlns:a="http://schemas.openxmlformats.org/drawingml/2006/main">
          <a:pPr>
            <a:defRPr sz="900"/>
          </a:pPr>
          <a:r>
            <a:t/>
          </a:r>
        </a:p>
      </txPr>
    </legend>
    <plotVisOnly val="1"/>
    <dispBlanksAs val="gap"/>
  </chart>
</chartSpace>
</file>

<file path=xl/charts/chart2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Profitability Margins</a:t>
            </a:r>
          </a:p>
        </rich>
      </tx>
      <txPr>
        <a:bodyPr xmlns:a="http://schemas.openxmlformats.org/drawingml/2006/main"/>
        <a:p xmlns:a="http://schemas.openxmlformats.org/drawingml/2006/main">
          <a:pPr>
            <a:defRPr sz="1200" b="1">
              <a:solidFill>
                <a:srgbClr val="1F3864"/>
              </a:solidFill>
            </a:defRPr>
          </a:pPr>
          <a:r>
            <a:t/>
          </a:r>
          <a:endParaRPr sz="1200" b="1">
            <a:solidFill>
              <a:srgbClr val="1F3864"/>
            </a:solidFill>
          </a:endParaRPr>
        </a:p>
      </txPr>
    </title>
    <plotArea>
      <lineChart>
        <grouping val="standard"/>
        <ser>
          <idx val="0"/>
          <order val="0"/>
          <tx>
            <v>Gross Margin</v>
          </tx>
          <spPr>
            <a:ln xmlns:a="http://schemas.openxmlformats.org/drawingml/2006/main" w="25000">
              <a:solidFill>
                <a:srgbClr val="1F3864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1F3864"/>
              </a:solidFill>
              <a:ln xmlns:a="http://schemas.openxmlformats.org/drawingml/2006/main">
                <a:prstDash val="solid"/>
              </a:ln>
            </spPr>
          </marker>
          <dLbls>
            <numFmt formatCode="0.0%"/>
            <txPr>
              <a:bodyPr xmlns:a="http://schemas.openxmlformats.org/drawingml/2006/main"/>
              <a:p xmlns:a="http://schemas.openxmlformats.org/drawingml/2006/main">
                <a:pPr>
                  <a:defRPr sz="800" b="1"/>
                </a:pPr>
                <a:r>
                  <a:t/>
                </a:r>
              </a:p>
            </txPr>
            <showVal val="1"/>
          </dLbls>
          <cat>
            <numRef>
              <f>'基准DCF'!$AB$59:$AK$59</f>
            </numRef>
          </cat>
          <val>
            <numRef>
              <f>'基准DCF'!$AB$60:$AK$60</f>
            </numRef>
          </val>
        </ser>
        <ser>
          <idx val="1"/>
          <order val="1"/>
          <tx>
            <v>EBITDA Margin</v>
          </tx>
          <spPr>
            <a:ln xmlns:a="http://schemas.openxmlformats.org/drawingml/2006/main" w="25000">
              <a:solidFill>
                <a:srgbClr val="C8A951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C8A951"/>
              </a:solidFill>
              <a:ln xmlns:a="http://schemas.openxmlformats.org/drawingml/2006/main">
                <a:prstDash val="solid"/>
              </a:ln>
            </spPr>
          </marker>
          <dLbls>
            <numFmt formatCode="0.0%"/>
            <txPr>
              <a:bodyPr xmlns:a="http://schemas.openxmlformats.org/drawingml/2006/main"/>
              <a:p xmlns:a="http://schemas.openxmlformats.org/drawingml/2006/main">
                <a:pPr>
                  <a:defRPr sz="800" b="1"/>
                </a:pPr>
                <a:r>
                  <a:t/>
                </a:r>
              </a:p>
            </txPr>
            <showVal val="1"/>
          </dLbls>
          <cat>
            <numRef>
              <f>'基准DCF'!$AB$59:$AK$59</f>
            </numRef>
          </cat>
          <val>
            <numRef>
              <f>'基准DCF'!$AB$62:$AK$62</f>
            </numRef>
          </val>
        </ser>
        <ser>
          <idx val="2"/>
          <order val="2"/>
          <tx>
            <v>Net Margin</v>
          </tx>
          <spPr>
            <a:ln xmlns:a="http://schemas.openxmlformats.org/drawingml/2006/main" w="25000">
              <a:solidFill>
                <a:srgbClr val="00AF50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00AF50"/>
              </a:solidFill>
              <a:ln xmlns:a="http://schemas.openxmlformats.org/drawingml/2006/main">
                <a:prstDash val="solid"/>
              </a:ln>
            </spPr>
          </marker>
          <dLbls>
            <numFmt formatCode="0.0%"/>
            <txPr>
              <a:bodyPr xmlns:a="http://schemas.openxmlformats.org/drawingml/2006/main"/>
              <a:p xmlns:a="http://schemas.openxmlformats.org/drawingml/2006/main">
                <a:pPr>
                  <a:defRPr sz="800" b="1"/>
                </a:pPr>
                <a:r>
                  <a:t/>
                </a:r>
              </a:p>
            </txPr>
            <showVal val="1"/>
          </dLbls>
          <cat>
            <numRef>
              <f>'基准DCF'!$AB$59:$AK$59</f>
            </numRef>
          </cat>
          <val>
            <numRef>
              <f>'基准DCF'!$AB$61:$AK$61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numFmt formatCode="0%" sourceLinked="0"/>
        <majorTickMark val="none"/>
        <minorTickMark val="none"/>
        <crossAx val="10"/>
      </valAx>
    </plotArea>
    <legend>
      <legendPos val="b"/>
      <txPr>
        <a:bodyPr xmlns:a="http://schemas.openxmlformats.org/drawingml/2006/main"/>
        <a:p xmlns:a="http://schemas.openxmlformats.org/drawingml/2006/main">
          <a:pPr>
            <a:defRPr sz="900"/>
          </a:pPr>
          <a:r>
            <a:t/>
          </a:r>
        </a:p>
      </txPr>
    </legend>
    <plotVisOnly val="1"/>
    <dispBlanksAs val="gap"/>
  </chart>
</chartSpace>
</file>

<file path=xl/charts/chart3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SOTP - Enterprise Value by Segment</a:t>
            </a:r>
          </a:p>
        </rich>
      </tx>
      <txPr>
        <a:bodyPr xmlns:a="http://schemas.openxmlformats.org/drawingml/2006/main"/>
        <a:p xmlns:a="http://schemas.openxmlformats.org/drawingml/2006/main">
          <a:pPr>
            <a:defRPr sz="1200" b="1">
              <a:solidFill>
                <a:srgbClr val="1F3864"/>
              </a:solidFill>
            </a:defRPr>
          </a:pPr>
          <a:r>
            <a:t/>
          </a:r>
          <a:endParaRPr sz="1200" b="1">
            <a:solidFill>
              <a:srgbClr val="1F3864"/>
            </a:solidFill>
          </a:endParaRPr>
        </a:p>
      </txPr>
    </title>
    <plotArea>
      <pie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spPr>
              <a:solidFill xmlns:a="http://schemas.openxmlformats.org/drawingml/2006/main">
                <a:srgbClr val="1F3864"/>
              </a:solidFill>
              <a:ln xmlns:a="http://schemas.openxmlformats.org/drawingml/2006/main">
                <a:prstDash val="solid"/>
              </a:ln>
            </spPr>
          </dPt>
          <dPt>
            <idx val="1"/>
            <spPr>
              <a:solidFill xmlns:a="http://schemas.openxmlformats.org/drawingml/2006/main">
                <a:srgbClr val="2E75B6"/>
              </a:solidFill>
              <a:ln xmlns:a="http://schemas.openxmlformats.org/drawingml/2006/main">
                <a:prstDash val="solid"/>
              </a:ln>
            </spPr>
          </dPt>
          <dPt>
            <idx val="2"/>
            <spPr>
              <a:solidFill xmlns:a="http://schemas.openxmlformats.org/drawingml/2006/main">
                <a:srgbClr val="C8A951"/>
              </a:solidFill>
              <a:ln xmlns:a="http://schemas.openxmlformats.org/drawingml/2006/main">
                <a:prstDash val="solid"/>
              </a:ln>
            </spPr>
          </dPt>
          <dPt>
            <idx val="3"/>
            <spPr>
              <a:solidFill xmlns:a="http://schemas.openxmlformats.org/drawingml/2006/main">
                <a:srgbClr val="00AF50"/>
              </a:solidFill>
              <a:ln xmlns:a="http://schemas.openxmlformats.org/drawingml/2006/main">
                <a:prstDash val="solid"/>
              </a:ln>
            </spPr>
          </dPt>
          <dPt>
            <idx val="4"/>
            <spPr>
              <a:solidFill xmlns:a="http://schemas.openxmlformats.org/drawingml/2006/main">
                <a:srgbClr val="E37C2B"/>
              </a:solidFill>
              <a:ln xmlns:a="http://schemas.openxmlformats.org/drawingml/2006/main">
                <a:prstDash val="solid"/>
              </a:ln>
            </spPr>
          </dPt>
          <dPt>
            <idx val="5"/>
            <spPr>
              <a:solidFill xmlns:a="http://schemas.openxmlformats.org/drawingml/2006/main">
                <a:srgbClr val="B91C1C"/>
              </a:solidFill>
              <a:ln xmlns:a="http://schemas.openxmlformats.org/drawingml/2006/main">
                <a:prstDash val="solid"/>
              </a:ln>
            </spPr>
          </dPt>
          <dPt>
            <idx val="6"/>
            <spPr>
              <a:solidFill xmlns:a="http://schemas.openxmlformats.org/drawingml/2006/main">
                <a:srgbClr val="6B4C9A"/>
              </a:solidFill>
              <a:ln xmlns:a="http://schemas.openxmlformats.org/drawingml/2006/main">
                <a:prstDash val="solid"/>
              </a:ln>
            </spPr>
          </dPt>
          <dPt>
            <idx val="7"/>
            <spPr>
              <a:solidFill xmlns:a="http://schemas.openxmlformats.org/drawingml/2006/main">
                <a:srgbClr val="4A90D9"/>
              </a:solidFill>
              <a:ln xmlns:a="http://schemas.openxmlformats.org/drawingml/2006/main">
                <a:prstDash val="solid"/>
              </a:ln>
            </spPr>
          </dPt>
          <dPt>
            <idx val="8"/>
            <spPr>
              <a:solidFill xmlns:a="http://schemas.openxmlformats.org/drawingml/2006/main">
                <a:srgbClr val="1F3864"/>
              </a:solidFill>
              <a:ln xmlns:a="http://schemas.openxmlformats.org/drawingml/2006/main">
                <a:prstDash val="solid"/>
              </a:ln>
            </spPr>
          </dPt>
          <dLbls>
            <txPr>
              <a:bodyPr xmlns:a="http://schemas.openxmlformats.org/drawingml/2006/main"/>
              <a:p xmlns:a="http://schemas.openxmlformats.org/drawingml/2006/main">
                <a:pPr>
                  <a:defRPr sz="800" b="1"/>
                </a:pPr>
                <a:r>
                  <a:t/>
                </a:r>
              </a:p>
            </txPr>
            <showVal val="0"/>
            <showCatName val="0"/>
            <showPercent val="1"/>
          </dLbls>
          <cat>
            <numRef>
              <f>'SOTP'!$B$5:$B$13</f>
            </numRef>
          </cat>
          <val>
            <numRef>
              <f>'SOTP'!$G$5:$G$13</f>
            </numRef>
          </val>
        </ser>
        <firstSliceAng val="0"/>
      </pieChart>
    </plotArea>
    <legend>
      <legendPos val="r"/>
      <txPr>
        <a:bodyPr xmlns:a="http://schemas.openxmlformats.org/drawingml/2006/main"/>
        <a:p xmlns:a="http://schemas.openxmlformats.org/drawingml/2006/main">
          <a:pPr>
            <a:defRPr sz="900"/>
          </a:pPr>
          <a:r>
            <a:t/>
          </a:r>
        </a:p>
      </txPr>
    </legend>
    <plotVisOnly val="1"/>
    <dispBlanksAs val="gap"/>
  </chart>
</chartSpace>
</file>

<file path=xl/charts/chart4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Historical PE Band</a:t>
            </a:r>
          </a:p>
        </rich>
      </tx>
      <txPr>
        <a:bodyPr xmlns:a="http://schemas.openxmlformats.org/drawingml/2006/main"/>
        <a:p xmlns:a="http://schemas.openxmlformats.org/drawingml/2006/main">
          <a:pPr>
            <a:defRPr sz="1200" b="1">
              <a:solidFill>
                <a:srgbClr val="1F3864"/>
              </a:solidFill>
            </a:defRPr>
          </a:pPr>
          <a:r>
            <a:t/>
          </a:r>
          <a:endParaRPr sz="1200" b="1">
            <a:solidFill>
              <a:srgbClr val="1F3864"/>
            </a:solidFill>
          </a:endParaRPr>
        </a:p>
      </txPr>
    </title>
    <plotArea>
      <areaChart>
        <grouping val="standard"/>
        <ser>
          <idx val="0"/>
          <order val="0"/>
          <tx>
            <v>PE High Band</v>
          </tx>
          <spPr>
            <a:solidFill xmlns:a="http://schemas.openxmlformats.org/drawingml/2006/main">
              <a:srgbClr val="2E75B6"/>
            </a:solidFill>
            <a:ln xmlns:a="http://schemas.openxmlformats.org/drawingml/2006/main">
              <a:solidFill>
                <a:srgbClr val="2E75B6"/>
              </a:solidFill>
              <a:prstDash val="solid"/>
            </a:ln>
          </spPr>
          <cat>
            <numRef>
              <f>'PE Band'!$B$8:$B$12</f>
            </numRef>
          </cat>
          <val>
            <numRef>
              <f>'PE Band'!$C$8:$C$12</f>
            </numRef>
          </val>
        </ser>
        <ser>
          <idx val="1"/>
          <order val="1"/>
          <tx>
            <v>PE Low Band</v>
          </tx>
          <spPr>
            <a:solidFill xmlns:a="http://schemas.openxmlformats.org/drawingml/2006/main">
              <a:srgbClr val="BDD7EE"/>
            </a:solidFill>
            <a:ln xmlns:a="http://schemas.openxmlformats.org/drawingml/2006/main">
              <a:solidFill>
                <a:srgbClr val="BDD7EE"/>
              </a:solidFill>
              <a:prstDash val="solid"/>
            </a:ln>
          </spPr>
          <cat>
            <numRef>
              <f>'PE Band'!$B$8:$B$12</f>
            </numRef>
          </cat>
          <val>
            <numRef>
              <f>'PE Band'!$D$8:$D$12</f>
            </numRef>
          </val>
        </ser>
        <axId val="10"/>
        <axId val="100"/>
      </areaChart>
      <lineChart>
        <grouping val="standard"/>
        <ser>
          <idx val="2"/>
          <order val="2"/>
          <tx>
            <v>PE Close</v>
          </tx>
          <spPr>
            <a:ln xmlns:a="http://schemas.openxmlformats.org/drawingml/2006/main" w="25000">
              <a:solidFill>
                <a:srgbClr val="1F3864"/>
              </a:solidFill>
              <a:prstDash val="solid"/>
            </a:ln>
          </spPr>
          <marker>
            <symbol val="diamond"/>
            <size val="5"/>
            <spPr>
              <a:solidFill xmlns:a="http://schemas.openxmlformats.org/drawingml/2006/main">
                <a:srgbClr val="1F3864"/>
              </a:solidFill>
              <a:ln xmlns:a="http://schemas.openxmlformats.org/drawingml/2006/main">
                <a:prstDash val="solid"/>
              </a:ln>
            </spPr>
          </marker>
          <dLbls>
            <numFmt formatCode="0.0&quot;x&quot;"/>
            <txPr>
              <a:bodyPr xmlns:a="http://schemas.openxmlformats.org/drawingml/2006/main"/>
              <a:p xmlns:a="http://schemas.openxmlformats.org/drawingml/2006/main">
                <a:pPr>
                  <a:defRPr sz="800" b="1"/>
                </a:pPr>
                <a:r>
                  <a:t/>
                </a:r>
              </a:p>
            </txPr>
            <showVal val="1"/>
          </dLbls>
          <cat>
            <numRef>
              <f>'PE Band'!$B$8:$B$12</f>
            </numRef>
          </cat>
          <val>
            <numRef>
              <f>'PE Band'!$G$8:$G$12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numFmt formatCode="0.0&quot;x&quot;" sourceLinked="0"/>
        <majorTickMark val="none"/>
        <minorTickMark val="none"/>
        <crossAx val="10"/>
      </valAx>
    </plotArea>
    <legend>
      <legendPos val="b"/>
      <txPr>
        <a:bodyPr xmlns:a="http://schemas.openxmlformats.org/drawingml/2006/main"/>
        <a:p xmlns:a="http://schemas.openxmlformats.org/drawingml/2006/main">
          <a:pPr>
            <a:defRPr sz="900"/>
          </a:pPr>
          <a:r>
            <a:t/>
          </a:r>
        </a:p>
      </txPr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_rels/drawing2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4.xml" Id="rId1"/></Relationships>
</file>

<file path=xl/drawings/drawing1.xml><?xml version="1.0" encoding="utf-8"?>
<wsDr xmlns="http://schemas.openxmlformats.org/drawingml/2006/spreadsheetDrawing">
  <oneCellAnchor>
    <from>
      <col>13</col>
      <colOff>0</colOff>
      <row>0</row>
      <rowOff>0</rowOff>
    </from>
    <ext cx="648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13</col>
      <colOff>0</colOff>
      <row>17</row>
      <rowOff>0</rowOff>
    </from>
    <ext cx="6480000" cy="36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9</col>
      <colOff>0</colOff>
      <row>3</row>
      <rowOff>0</rowOff>
    </from>
    <ext cx="648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9</col>
      <colOff>0</colOff>
      <row>2</row>
      <rowOff>0</rowOff>
    </from>
    <ext cx="648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tabColor rgb="001F3864"/>
    <outlinePr summaryBelow="1" summaryRight="1"/>
    <pageSetUpPr/>
  </sheetPr>
  <dimension ref="B2:E43"/>
  <sheetViews>
    <sheetView workbookViewId="0">
      <selection activeCell="A1" sqref="A1"/>
    </sheetView>
  </sheetViews>
  <sheetFormatPr baseColWidth="8" defaultRowHeight="15"/>
  <cols>
    <col width="3" customWidth="1" min="1" max="1"/>
    <col width="24" customWidth="1" min="2" max="2"/>
    <col width="20" customWidth="1" min="3" max="3"/>
    <col width="20" customWidth="1" min="4" max="4"/>
    <col width="20" customWidth="1" min="5" max="5"/>
    <col width="20" customWidth="1" min="6" max="6"/>
    <col width="3" customWidth="1" min="7" max="7"/>
  </cols>
  <sheetData>
    <row r="2">
      <c r="B2" s="1" t="inlineStr">
        <is>
          <t>Musk Empire Holdings</t>
        </is>
      </c>
    </row>
    <row r="3">
      <c r="B3" s="2" t="inlineStr">
        <is>
          <t>MUSK</t>
        </is>
      </c>
    </row>
    <row r="4">
      <c r="B4" s="3" t="inlineStr">
        <is>
          <t>Musk Empire Holdings - DCF Valuation Model</t>
        </is>
      </c>
    </row>
    <row r="6">
      <c r="B6" s="4" t="inlineStr">
        <is>
          <t>分析团队</t>
        </is>
      </c>
      <c r="C6" s="5" t="inlineStr">
        <is>
          <t>Aurora Capital Research</t>
        </is>
      </c>
    </row>
    <row r="7">
      <c r="B7" s="4" t="inlineStr">
        <is>
          <t>报告日期</t>
        </is>
      </c>
      <c r="C7" s="5" t="inlineStr">
        <is>
          <t>2026-06-12</t>
        </is>
      </c>
    </row>
    <row r="8">
      <c r="B8" s="4" t="inlineStr">
        <is>
          <t>货币单位</t>
        </is>
      </c>
      <c r="C8" s="5" t="inlineStr">
        <is>
          <t>USD</t>
        </is>
      </c>
    </row>
    <row r="9">
      <c r="B9" s="4" t="inlineStr">
        <is>
          <t>流通股数（百万）</t>
        </is>
      </c>
      <c r="C9" s="5" t="n">
        <v>1000</v>
      </c>
    </row>
    <row r="11">
      <c r="B11" s="6" t="inlineStr">
        <is>
          <t>业务概览</t>
        </is>
      </c>
    </row>
    <row r="12">
      <c r="B12" s="7" t="inlineStr">
        <is>
          <t>业务板块</t>
        </is>
      </c>
      <c r="C12" s="7" t="inlineStr">
        <is>
          <t>描述</t>
        </is>
      </c>
      <c r="D12" s="7" t="inlineStr">
        <is>
          <t>营收估计</t>
        </is>
      </c>
    </row>
    <row r="13">
      <c r="B13" s="8" t="inlineStr">
        <is>
          <t>Autonomy &amp; AI</t>
        </is>
      </c>
      <c r="C13" s="9" t="inlineStr">
        <is>
          <t>Full self-driving software licensing and AI inference platform</t>
        </is>
      </c>
      <c r="D13" s="10" t="n">
        <v>8500</v>
      </c>
    </row>
    <row r="14">
      <c r="B14" s="11" t="inlineStr">
        <is>
          <t>EV Manufacturing</t>
        </is>
      </c>
      <c r="C14" s="12" t="inlineStr">
        <is>
          <t>Electric vehicle design, production and direct sales</t>
        </is>
      </c>
      <c r="D14" s="13" t="n">
        <v>12000</v>
      </c>
    </row>
    <row r="15">
      <c r="B15" s="8" t="inlineStr">
        <is>
          <t>Energy &amp; Storage</t>
        </is>
      </c>
      <c r="C15" s="9" t="inlineStr">
        <is>
          <t>Solar panels, Powerwall, Megapack and grid-scale storage</t>
        </is>
      </c>
      <c r="D15" s="10" t="n">
        <v>6500</v>
      </c>
    </row>
    <row r="16">
      <c r="B16" s="11" t="inlineStr">
        <is>
          <t>Financial Services</t>
        </is>
      </c>
      <c r="C16" s="12" t="inlineStr">
        <is>
          <t>Insurance, lending and payment processing ecosystem</t>
        </is>
      </c>
      <c r="D16" s="13" t="n">
        <v>5000</v>
      </c>
    </row>
    <row r="17">
      <c r="B17" s="8" t="inlineStr">
        <is>
          <t>Satellite Internet</t>
        </is>
      </c>
      <c r="C17" s="9" t="inlineStr">
        <is>
          <t>Starlink LEO broadband constellation for consumer and enterprise</t>
        </is>
      </c>
      <c r="D17" s="10" t="n">
        <v>4200</v>
      </c>
    </row>
    <row r="18">
      <c r="B18" s="11" t="inlineStr">
        <is>
          <t>Social Media</t>
        </is>
      </c>
      <c r="C18" s="12" t="inlineStr">
        <is>
          <t>X platform advertising, subscription and data services</t>
        </is>
      </c>
      <c r="D18" s="13" t="n">
        <v>3000</v>
      </c>
    </row>
    <row r="19">
      <c r="B19" s="8" t="inlineStr">
        <is>
          <t>Robotics</t>
        </is>
      </c>
      <c r="C19" s="9" t="inlineStr">
        <is>
          <t>Humanoid robot (Optimus) for industrial and consumer use</t>
        </is>
      </c>
      <c r="D19" s="10" t="n">
        <v>1500</v>
      </c>
    </row>
    <row r="20">
      <c r="B20" s="11" t="inlineStr">
        <is>
          <t>Neural Interface</t>
        </is>
      </c>
      <c r="C20" s="12" t="inlineStr">
        <is>
          <t>Brain-computer interface technology for medical and consumer</t>
        </is>
      </c>
      <c r="D20" s="13" t="n">
        <v>800</v>
      </c>
    </row>
    <row r="21">
      <c r="B21" s="8" t="inlineStr">
        <is>
          <t>Underground Transport</t>
        </is>
      </c>
      <c r="C21" s="9" t="inlineStr">
        <is>
          <t>Boring Company tunnel infrastructure and loop transit systems</t>
        </is>
      </c>
      <c r="D21" s="10" t="n">
        <v>500</v>
      </c>
    </row>
    <row r="23">
      <c r="B23" s="6" t="inlineStr">
        <is>
          <t>情景假设摘要</t>
        </is>
      </c>
    </row>
    <row r="24">
      <c r="B24" s="14" t="inlineStr">
        <is>
          <t>关键假设</t>
        </is>
      </c>
      <c r="C24" s="14" t="inlineStr">
        <is>
          <t>熊市情景</t>
        </is>
      </c>
      <c r="D24" s="14" t="inlineStr">
        <is>
          <t>基准情景</t>
        </is>
      </c>
      <c r="E24" s="14" t="inlineStr">
        <is>
          <t>牛市情景</t>
        </is>
      </c>
    </row>
    <row r="25">
      <c r="B25" s="8" t="inlineStr">
        <is>
          <t>收入CAGR</t>
        </is>
      </c>
      <c r="C25" s="15">
        <f>'熊市DCF'!C48</f>
        <v/>
      </c>
      <c r="D25" s="16">
        <f>'基准DCF'!C48</f>
        <v/>
      </c>
      <c r="E25" s="17">
        <f>'牛市DCF'!C48</f>
        <v/>
      </c>
    </row>
    <row r="26">
      <c r="B26" s="11" t="inlineStr">
        <is>
          <t>WACC</t>
        </is>
      </c>
      <c r="C26" s="15">
        <f>'熊市DCF'!C35</f>
        <v/>
      </c>
      <c r="D26" s="16">
        <f>'基准DCF'!C35</f>
        <v/>
      </c>
      <c r="E26" s="17">
        <f>'牛市DCF'!C35</f>
        <v/>
      </c>
    </row>
    <row r="27">
      <c r="B27" s="8" t="inlineStr">
        <is>
          <t>终值增长率</t>
        </is>
      </c>
      <c r="C27" s="15">
        <f>'熊市DCF'!C31</f>
        <v/>
      </c>
      <c r="D27" s="16">
        <f>'基准DCF'!C31</f>
        <v/>
      </c>
      <c r="E27" s="17">
        <f>'牛市DCF'!C31</f>
        <v/>
      </c>
    </row>
    <row r="28">
      <c r="B28" s="11" t="inlineStr">
        <is>
          <t>退出倍数</t>
        </is>
      </c>
      <c r="C28" s="18">
        <f>'熊市DCF'!C32</f>
        <v/>
      </c>
      <c r="D28" s="19">
        <f>'基准DCF'!C32</f>
        <v/>
      </c>
      <c r="E28" s="20">
        <f>'牛市DCF'!C32</f>
        <v/>
      </c>
    </row>
    <row r="29">
      <c r="B29" s="8" t="inlineStr">
        <is>
          <t>企业价值</t>
        </is>
      </c>
      <c r="C29" s="21">
        <f>'熊市DCF'!C43</f>
        <v/>
      </c>
      <c r="D29" s="22">
        <f>'基准DCF'!C43</f>
        <v/>
      </c>
      <c r="E29" s="23">
        <f>'牛市DCF'!C43</f>
        <v/>
      </c>
    </row>
    <row r="30">
      <c r="B30" s="11" t="inlineStr">
        <is>
          <t>股权价值</t>
        </is>
      </c>
      <c r="C30" s="21">
        <f>'熊市DCF'!C44</f>
        <v/>
      </c>
      <c r="D30" s="22">
        <f>'基准DCF'!C44</f>
        <v/>
      </c>
      <c r="E30" s="23">
        <f>'牛市DCF'!C44</f>
        <v/>
      </c>
    </row>
    <row r="31">
      <c r="B31" s="8" t="inlineStr">
        <is>
          <t>每股价值</t>
        </is>
      </c>
      <c r="C31" s="24">
        <f>'熊市DCF'!C45</f>
        <v/>
      </c>
      <c r="D31" s="25">
        <f>'基准DCF'!C45</f>
        <v/>
      </c>
      <c r="E31" s="26">
        <f>'牛市DCF'!C45</f>
        <v/>
      </c>
    </row>
    <row r="32">
      <c r="B32" s="11" t="inlineStr">
        <is>
          <t>隐含EV/Revenue</t>
        </is>
      </c>
      <c r="C32" s="18">
        <f>'熊市DCF'!C46</f>
        <v/>
      </c>
      <c r="D32" s="19">
        <f>'基准DCF'!C46</f>
        <v/>
      </c>
      <c r="E32" s="20">
        <f>'牛市DCF'!C46</f>
        <v/>
      </c>
    </row>
    <row r="33">
      <c r="B33" s="8" t="inlineStr">
        <is>
          <t>隐含EV/EBITDA</t>
        </is>
      </c>
      <c r="C33" s="18">
        <f>'熊市DCF'!C47</f>
        <v/>
      </c>
      <c r="D33" s="19">
        <f>'基准DCF'!C47</f>
        <v/>
      </c>
      <c r="E33" s="20">
        <f>'牛市DCF'!C47</f>
        <v/>
      </c>
    </row>
    <row r="35">
      <c r="B35" s="6" t="inlineStr">
        <is>
          <t>跨情景估值汇总</t>
        </is>
      </c>
    </row>
    <row r="36">
      <c r="B36" s="14" t="inlineStr"/>
      <c r="C36" s="14" t="inlineStr">
        <is>
          <t>熊市情景</t>
        </is>
      </c>
      <c r="D36" s="14" t="inlineStr">
        <is>
          <t>基准情景</t>
        </is>
      </c>
      <c r="E36" s="14" t="inlineStr">
        <is>
          <t>牛市情景</t>
        </is>
      </c>
    </row>
    <row r="37">
      <c r="B37" s="27" t="inlineStr">
        <is>
          <t>企业价值</t>
        </is>
      </c>
      <c r="C37" s="21">
        <f>'熊市DCF'!C43</f>
        <v/>
      </c>
      <c r="D37" s="22">
        <f>'基准DCF'!C43</f>
        <v/>
      </c>
      <c r="E37" s="23">
        <f>'牛市DCF'!C43</f>
        <v/>
      </c>
    </row>
    <row r="38">
      <c r="B38" s="27" t="inlineStr">
        <is>
          <t>净债务</t>
        </is>
      </c>
      <c r="C38" s="21">
        <f>'熊市DCF'!C34</f>
        <v/>
      </c>
      <c r="D38" s="22">
        <f>'基准DCF'!C34</f>
        <v/>
      </c>
      <c r="E38" s="23">
        <f>'牛市DCF'!C34</f>
        <v/>
      </c>
    </row>
    <row r="39">
      <c r="B39" s="27" t="inlineStr">
        <is>
          <t>股权价值</t>
        </is>
      </c>
      <c r="C39" s="21">
        <f>'熊市DCF'!C44</f>
        <v/>
      </c>
      <c r="D39" s="22">
        <f>'基准DCF'!C44</f>
        <v/>
      </c>
      <c r="E39" s="23">
        <f>'牛市DCF'!C44</f>
        <v/>
      </c>
    </row>
    <row r="40">
      <c r="B40" s="27" t="inlineStr">
        <is>
          <t>每股价值</t>
        </is>
      </c>
      <c r="C40" s="28">
        <f>'熊市DCF'!C45</f>
        <v/>
      </c>
      <c r="D40" s="28">
        <f>'基准DCF'!C45</f>
        <v/>
      </c>
      <c r="E40" s="28">
        <f>'牛市DCF'!C45</f>
        <v/>
      </c>
    </row>
    <row r="43">
      <c r="B43" s="29" t="inlineStr">
        <is>
          <t>免责声明：本模型仅供研究参考，不构成投资建议。</t>
        </is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tabColor rgb="004472C4"/>
    <outlinePr summaryBelow="1" summaryRight="1"/>
    <pageSetUpPr/>
  </sheetPr>
  <dimension ref="B1:M9"/>
  <sheetViews>
    <sheetView workbookViewId="0">
      <selection activeCell="A1" sqref="A1"/>
    </sheetView>
  </sheetViews>
  <sheetFormatPr baseColWidth="8" defaultRowHeight="15"/>
  <cols>
    <col width="2" customWidth="1" min="1" max="1"/>
    <col width="22" customWidth="1" min="2" max="2"/>
    <col width="10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1">
      <c r="B1" s="30" t="inlineStr">
        <is>
          <t>关键运营指标 / Operational KPIs</t>
        </is>
      </c>
    </row>
    <row r="3">
      <c r="B3" s="14" t="inlineStr">
        <is>
          <t>指标</t>
        </is>
      </c>
      <c r="C3" s="14" t="inlineStr">
        <is>
          <t>单位</t>
        </is>
      </c>
      <c r="D3" s="7" t="inlineStr">
        <is>
          <t>历史 (5Y)</t>
        </is>
      </c>
      <c r="E3" s="31" t="n"/>
      <c r="F3" s="31" t="n"/>
      <c r="G3" s="31" t="n"/>
      <c r="H3" s="32" t="n"/>
      <c r="I3" s="7" t="inlineStr">
        <is>
          <t>预测 (5Y)</t>
        </is>
      </c>
      <c r="J3" s="31" t="n"/>
      <c r="K3" s="31" t="n"/>
      <c r="L3" s="31" t="n"/>
      <c r="M3" s="32" t="n"/>
    </row>
    <row r="4">
      <c r="B4" s="14" t="inlineStr"/>
      <c r="C4" s="14" t="inlineStr"/>
      <c r="D4" s="14" t="inlineStr">
        <is>
          <t>FY21A</t>
        </is>
      </c>
      <c r="E4" s="14" t="inlineStr">
        <is>
          <t>FY22A</t>
        </is>
      </c>
      <c r="F4" s="14" t="inlineStr">
        <is>
          <t>FY23A</t>
        </is>
      </c>
      <c r="G4" s="14" t="inlineStr">
        <is>
          <t>FY24A</t>
        </is>
      </c>
      <c r="H4" s="14" t="inlineStr">
        <is>
          <t>FY25A</t>
        </is>
      </c>
      <c r="I4" s="14" t="inlineStr">
        <is>
          <t>FY26E</t>
        </is>
      </c>
      <c r="J4" s="14" t="inlineStr">
        <is>
          <t>FY27E</t>
        </is>
      </c>
      <c r="K4" s="14" t="inlineStr">
        <is>
          <t>FY28E</t>
        </is>
      </c>
      <c r="L4" s="14" t="inlineStr">
        <is>
          <t>FY29E</t>
        </is>
      </c>
      <c r="M4" s="14" t="inlineStr">
        <is>
          <t>FY30E</t>
        </is>
      </c>
    </row>
    <row r="5">
      <c r="B5" s="8" t="inlineStr">
        <is>
          <t>Tesla Deliveries</t>
        </is>
      </c>
      <c r="C5" s="33" t="inlineStr">
        <is>
          <t>K units</t>
        </is>
      </c>
      <c r="D5" s="34" t="n">
        <v>1310</v>
      </c>
      <c r="E5" s="34" t="n">
        <v>1390</v>
      </c>
      <c r="F5" s="34" t="n">
        <v>1810</v>
      </c>
      <c r="G5" s="34" t="n">
        <v>1636</v>
      </c>
      <c r="H5" s="35" t="n">
        <v>1790</v>
      </c>
      <c r="I5" s="36" t="n">
        <v>2000</v>
      </c>
      <c r="J5" s="36" t="n">
        <v>2200</v>
      </c>
      <c r="K5" s="36" t="n">
        <v>2400</v>
      </c>
      <c r="L5" s="36" t="n">
        <v>2600</v>
      </c>
      <c r="M5" s="36" t="n">
        <v>2800</v>
      </c>
    </row>
    <row r="6">
      <c r="B6" s="11" t="inlineStr">
        <is>
          <t>Starlink Users</t>
        </is>
      </c>
      <c r="C6" s="37" t="inlineStr">
        <is>
          <t>M</t>
        </is>
      </c>
      <c r="D6" s="38" t="n">
        <v>2.5</v>
      </c>
      <c r="E6" s="38" t="n">
        <v>4</v>
      </c>
      <c r="F6" s="38" t="n">
        <v>6</v>
      </c>
      <c r="G6" s="38" t="n">
        <v>10.3</v>
      </c>
      <c r="H6" s="39" t="n">
        <v>15</v>
      </c>
      <c r="I6" s="40" t="n">
        <v>20</v>
      </c>
      <c r="J6" s="40" t="n">
        <v>25</v>
      </c>
      <c r="K6" s="40" t="n">
        <v>30</v>
      </c>
      <c r="L6" s="40" t="n">
        <v>35</v>
      </c>
      <c r="M6" s="40" t="n">
        <v>40</v>
      </c>
    </row>
    <row r="7">
      <c r="B7" s="8" t="inlineStr">
        <is>
          <t>SpaceX Launches</t>
        </is>
      </c>
      <c r="C7" s="33" t="inlineStr">
        <is>
          <t>Times</t>
        </is>
      </c>
      <c r="D7" s="34" t="n">
        <v>31</v>
      </c>
      <c r="E7" s="34" t="n">
        <v>96</v>
      </c>
      <c r="F7" s="34" t="n">
        <v>134</v>
      </c>
      <c r="G7" s="34" t="n">
        <v>180</v>
      </c>
      <c r="H7" s="35" t="n">
        <v>220</v>
      </c>
      <c r="I7" s="36" t="n">
        <v>260</v>
      </c>
      <c r="J7" s="36" t="n">
        <v>300</v>
      </c>
      <c r="K7" s="36" t="n">
        <v>340</v>
      </c>
      <c r="L7" s="36" t="n">
        <v>380</v>
      </c>
      <c r="M7" s="36" t="n">
        <v>420</v>
      </c>
    </row>
    <row r="8">
      <c r="B8" s="11" t="inlineStr">
        <is>
          <t>FSD Subscribers</t>
        </is>
      </c>
      <c r="C8" s="37" t="inlineStr">
        <is>
          <t>M</t>
        </is>
      </c>
      <c r="D8" s="38" t="n">
        <v>0.5</v>
      </c>
      <c r="E8" s="38" t="n">
        <v>1.2</v>
      </c>
      <c r="F8" s="38" t="n">
        <v>2.5</v>
      </c>
      <c r="G8" s="38" t="n">
        <v>5</v>
      </c>
      <c r="H8" s="39" t="n">
        <v>8</v>
      </c>
      <c r="I8" s="40" t="n">
        <v>12</v>
      </c>
      <c r="J8" s="40" t="n">
        <v>16</v>
      </c>
      <c r="K8" s="40" t="n">
        <v>20</v>
      </c>
      <c r="L8" s="40" t="n">
        <v>24</v>
      </c>
      <c r="M8" s="40" t="n">
        <v>28</v>
      </c>
    </row>
    <row r="9">
      <c r="B9" s="8" t="inlineStr">
        <is>
          <t>Optimus Units</t>
        </is>
      </c>
      <c r="C9" s="33" t="inlineStr">
        <is>
          <t>K units</t>
        </is>
      </c>
      <c r="D9" s="41" t="n">
        <v>0.1</v>
      </c>
      <c r="E9" s="41" t="n">
        <v>0.5</v>
      </c>
      <c r="F9" s="41" t="n">
        <v>2</v>
      </c>
      <c r="G9" s="41" t="n">
        <v>5</v>
      </c>
      <c r="H9" s="42" t="n">
        <v>10</v>
      </c>
      <c r="I9" s="43" t="n">
        <v>25</v>
      </c>
      <c r="J9" s="43" t="n">
        <v>50</v>
      </c>
      <c r="K9" s="43" t="n">
        <v>80</v>
      </c>
      <c r="L9" s="43" t="n">
        <v>120</v>
      </c>
      <c r="M9" s="43" t="n">
        <v>150</v>
      </c>
    </row>
  </sheetData>
  <mergeCells count="2">
    <mergeCell ref="I3:M3"/>
    <mergeCell ref="D3:H3"/>
  </mergeCells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tabColor rgb="00C9A227"/>
    <outlinePr summaryBelow="1" summaryRight="1"/>
    <pageSetUpPr/>
  </sheetPr>
  <dimension ref="B1:E20"/>
  <sheetViews>
    <sheetView workbookViewId="0">
      <selection activeCell="A1" sqref="A1"/>
    </sheetView>
  </sheetViews>
  <sheetFormatPr baseColWidth="8" defaultRowHeight="15"/>
  <cols>
    <col width="2" customWidth="1" min="1" max="1"/>
    <col width="30" customWidth="1" min="2" max="2"/>
    <col width="16" customWidth="1" min="3" max="3"/>
    <col width="16" customWidth="1" min="4" max="4"/>
    <col width="16" customWidth="1" min="5" max="5"/>
  </cols>
  <sheetData>
    <row r="1">
      <c r="B1" s="30" t="inlineStr">
        <is>
          <t>WACC拆解</t>
        </is>
      </c>
    </row>
    <row r="2">
      <c r="B2" s="44" t="inlineStr">
        <is>
          <t>WACC拆解</t>
        </is>
      </c>
      <c r="C2" s="44" t="inlineStr">
        <is>
          <t>熊市情景</t>
        </is>
      </c>
      <c r="D2" s="44" t="inlineStr">
        <is>
          <t>基准情景</t>
        </is>
      </c>
      <c r="E2" s="44" t="inlineStr">
        <is>
          <t>牛市情景</t>
        </is>
      </c>
    </row>
    <row r="3">
      <c r="B3" s="45" t="inlineStr">
        <is>
          <t>股权成本(Ke) (CAPM)</t>
        </is>
      </c>
      <c r="C3" s="46" t="n"/>
      <c r="D3" s="46" t="n"/>
      <c r="E3" s="46" t="n"/>
    </row>
    <row r="4">
      <c r="B4" s="27" t="inlineStr">
        <is>
          <t>无风险利率</t>
        </is>
      </c>
      <c r="C4" s="47" t="n">
        <v>0.044</v>
      </c>
      <c r="D4" s="47" t="n">
        <v>0.044</v>
      </c>
      <c r="E4" s="47" t="n">
        <v>0.044</v>
      </c>
    </row>
    <row r="5">
      <c r="B5" s="27" t="inlineStr">
        <is>
          <t>股权风险溢价</t>
        </is>
      </c>
      <c r="C5" s="47" t="n">
        <v>0.055</v>
      </c>
      <c r="D5" s="47" t="n">
        <v>0.055</v>
      </c>
      <c r="E5" s="47" t="n">
        <v>0.055</v>
      </c>
    </row>
    <row r="6">
      <c r="B6" s="27" t="inlineStr">
        <is>
          <t>Beta</t>
        </is>
      </c>
      <c r="C6" s="48" t="n">
        <v>1.8</v>
      </c>
      <c r="D6" s="48" t="n">
        <v>1.5</v>
      </c>
      <c r="E6" s="48" t="n">
        <v>1.2</v>
      </c>
    </row>
    <row r="7">
      <c r="B7" s="27" t="inlineStr">
        <is>
          <t>规模溢价</t>
        </is>
      </c>
      <c r="C7" s="47" t="n">
        <v>0.005</v>
      </c>
      <c r="D7" s="47" t="n">
        <v>0.003</v>
      </c>
      <c r="E7" s="47" t="n">
        <v>0.002</v>
      </c>
    </row>
    <row r="8">
      <c r="B8" s="27" t="inlineStr">
        <is>
          <t>国家风险溢价</t>
        </is>
      </c>
      <c r="C8" s="47" t="n">
        <v>0</v>
      </c>
      <c r="D8" s="47" t="n">
        <v>0</v>
      </c>
      <c r="E8" s="47" t="n">
        <v>0</v>
      </c>
    </row>
    <row r="9">
      <c r="B9" s="49" t="inlineStr">
        <is>
          <t>股权成本(Ke)</t>
        </is>
      </c>
      <c r="C9" s="50">
        <f>C4+C6*C5+C7+C8</f>
        <v/>
      </c>
      <c r="D9" s="50">
        <f>D4+D6*D5+D7+D8</f>
        <v/>
      </c>
      <c r="E9" s="50">
        <f>E4+E6*E5+E7+E8</f>
        <v/>
      </c>
    </row>
    <row r="10">
      <c r="B10" s="46" t="inlineStr"/>
      <c r="C10" s="46" t="n"/>
      <c r="D10" s="46" t="n"/>
      <c r="E10" s="46" t="n"/>
    </row>
    <row r="11">
      <c r="B11" s="45" t="inlineStr">
        <is>
          <t>债务成本(Kd)</t>
        </is>
      </c>
      <c r="C11" s="46" t="n"/>
      <c r="D11" s="46" t="n"/>
      <c r="E11" s="46" t="n"/>
    </row>
    <row r="12">
      <c r="B12" s="27" t="inlineStr">
        <is>
          <t>债务成本(Kd) (Pre-tax)</t>
        </is>
      </c>
      <c r="C12" s="47" t="n">
        <v>0.065</v>
      </c>
      <c r="D12" s="47" t="n">
        <v>0.055</v>
      </c>
      <c r="E12" s="47" t="n">
        <v>0.045</v>
      </c>
    </row>
    <row r="13">
      <c r="B13" s="27" t="inlineStr">
        <is>
          <t>税率</t>
        </is>
      </c>
      <c r="C13" s="47" t="n">
        <v>0.21</v>
      </c>
      <c r="D13" s="47" t="n">
        <v>0.21</v>
      </c>
      <c r="E13" s="47" t="n">
        <v>0.21</v>
      </c>
    </row>
    <row r="14">
      <c r="B14" s="27" t="inlineStr">
        <is>
          <t>Kd*(1-T)</t>
        </is>
      </c>
      <c r="C14" s="51">
        <f>C12*(1-C13)</f>
        <v/>
      </c>
      <c r="D14" s="51">
        <f>D12*(1-D13)</f>
        <v/>
      </c>
      <c r="E14" s="51">
        <f>E12*(1-E13)</f>
        <v/>
      </c>
    </row>
    <row r="15">
      <c r="B15" s="46" t="inlineStr"/>
      <c r="C15" s="46" t="n"/>
      <c r="D15" s="46" t="n"/>
      <c r="E15" s="46" t="n"/>
    </row>
    <row r="16">
      <c r="B16" s="45" t="inlineStr">
        <is>
          <t>Capital Structure</t>
        </is>
      </c>
      <c r="C16" s="46" t="n"/>
      <c r="D16" s="46" t="n"/>
      <c r="E16" s="46" t="n"/>
    </row>
    <row r="17">
      <c r="B17" s="27" t="inlineStr">
        <is>
          <t>股权权重 E/(D+E)</t>
        </is>
      </c>
      <c r="C17" s="47" t="n">
        <v>0.9</v>
      </c>
      <c r="D17" s="47" t="n">
        <v>0.92</v>
      </c>
      <c r="E17" s="47" t="n">
        <v>0.95</v>
      </c>
    </row>
    <row r="18">
      <c r="B18" s="27" t="inlineStr">
        <is>
          <t>债务权重 D/(D+E)</t>
        </is>
      </c>
      <c r="C18" s="52">
        <f>1-C17</f>
        <v/>
      </c>
      <c r="D18" s="52">
        <f>1-D17</f>
        <v/>
      </c>
      <c r="E18" s="52">
        <f>1-E17</f>
        <v/>
      </c>
    </row>
    <row r="19">
      <c r="B19" s="46" t="inlineStr"/>
      <c r="C19" s="46" t="n"/>
      <c r="D19" s="46" t="n"/>
      <c r="E19" s="46" t="n"/>
    </row>
    <row r="20">
      <c r="B20" s="53" t="inlineStr">
        <is>
          <t>WACC</t>
        </is>
      </c>
      <c r="C20" s="54">
        <f>C9*C17+C14*C18</f>
        <v/>
      </c>
      <c r="D20" s="54">
        <f>D9*D17+D14*D18</f>
        <v/>
      </c>
      <c r="E20" s="54">
        <f>E9*E17+E14*E18</f>
        <v/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tabColor rgb="00843C0C"/>
    <outlinePr summaryBelow="1" summaryRight="1"/>
    <pageSetUpPr/>
  </sheetPr>
  <dimension ref="B1:L48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2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>
      <c r="B1" s="55" t="inlineStr">
        <is>
          <t>熊市情景</t>
        </is>
      </c>
    </row>
    <row r="2">
      <c r="B2" s="44" t="inlineStr"/>
      <c r="C2" s="44" t="inlineStr">
        <is>
          <t>FY21A</t>
        </is>
      </c>
      <c r="D2" s="44" t="inlineStr">
        <is>
          <t>FY22A</t>
        </is>
      </c>
      <c r="E2" s="44" t="inlineStr">
        <is>
          <t>FY23A</t>
        </is>
      </c>
      <c r="F2" s="44" t="inlineStr">
        <is>
          <t>FY24A</t>
        </is>
      </c>
      <c r="G2" s="44" t="inlineStr">
        <is>
          <t>FY25A</t>
        </is>
      </c>
      <c r="H2" s="44" t="inlineStr">
        <is>
          <t>FY26E</t>
        </is>
      </c>
      <c r="I2" s="44" t="inlineStr">
        <is>
          <t>FY27E</t>
        </is>
      </c>
      <c r="J2" s="44" t="inlineStr">
        <is>
          <t>FY28E</t>
        </is>
      </c>
      <c r="K2" s="44" t="inlineStr">
        <is>
          <t>FY29E</t>
        </is>
      </c>
      <c r="L2" s="44" t="inlineStr">
        <is>
          <t>FY30E</t>
        </is>
      </c>
    </row>
    <row r="3">
      <c r="B3" s="45" t="inlineStr">
        <is>
          <t>总收入</t>
        </is>
      </c>
      <c r="C3" s="46" t="n"/>
      <c r="D3" s="46" t="n"/>
      <c r="E3" s="46" t="n"/>
      <c r="F3" s="46" t="n"/>
      <c r="G3" s="46" t="n"/>
      <c r="H3" s="46" t="n"/>
      <c r="I3" s="46" t="n"/>
      <c r="J3" s="46" t="n"/>
      <c r="K3" s="46" t="n"/>
      <c r="L3" s="46" t="n"/>
    </row>
    <row r="4">
      <c r="B4" s="8" t="inlineStr">
        <is>
          <t xml:space="preserve">  Autonomy &amp; AI</t>
        </is>
      </c>
      <c r="C4" s="56" t="n">
        <v>800</v>
      </c>
      <c r="D4" s="56" t="n">
        <v>1400</v>
      </c>
      <c r="E4" s="56" t="n">
        <v>2200</v>
      </c>
      <c r="F4" s="56" t="n">
        <v>3200</v>
      </c>
      <c r="G4" s="56" t="n">
        <v>4500</v>
      </c>
      <c r="H4" s="57">
        <f>4500</f>
        <v/>
      </c>
      <c r="I4" s="57">
        <f>H4*(1+0.0800)</f>
        <v/>
      </c>
      <c r="J4" s="57">
        <f>I4*(1+0.0600)</f>
        <v/>
      </c>
      <c r="K4" s="57">
        <f>J4*(1+0.0400)</f>
        <v/>
      </c>
      <c r="L4" s="57">
        <f>K4*(1+0.0300)</f>
        <v/>
      </c>
    </row>
    <row r="5">
      <c r="B5" s="11" t="inlineStr">
        <is>
          <t xml:space="preserve">  EV Manufacturing</t>
        </is>
      </c>
      <c r="C5" s="58" t="n">
        <v>2500</v>
      </c>
      <c r="D5" s="58" t="n">
        <v>3200</v>
      </c>
      <c r="E5" s="58" t="n">
        <v>4000</v>
      </c>
      <c r="F5" s="58" t="n">
        <v>5000</v>
      </c>
      <c r="G5" s="58" t="n">
        <v>5800</v>
      </c>
      <c r="H5" s="57">
        <f>5800</f>
        <v/>
      </c>
      <c r="I5" s="57">
        <f>H5*(1+0.0500)</f>
        <v/>
      </c>
      <c r="J5" s="57">
        <f>I5*(1+0.0400)</f>
        <v/>
      </c>
      <c r="K5" s="57">
        <f>J5*(1+0.0300)</f>
        <v/>
      </c>
      <c r="L5" s="57">
        <f>K5*(1+0.0200)</f>
        <v/>
      </c>
    </row>
    <row r="6">
      <c r="B6" s="8" t="inlineStr">
        <is>
          <t xml:space="preserve">  Energy &amp; Storage</t>
        </is>
      </c>
      <c r="C6" s="56" t="n">
        <v>800</v>
      </c>
      <c r="D6" s="56" t="n">
        <v>1000</v>
      </c>
      <c r="E6" s="56" t="n">
        <v>1400</v>
      </c>
      <c r="F6" s="56" t="n">
        <v>1800</v>
      </c>
      <c r="G6" s="56" t="n">
        <v>2200</v>
      </c>
      <c r="H6" s="57">
        <f>2200</f>
        <v/>
      </c>
      <c r="I6" s="57">
        <f>H6*(1+0.0600)</f>
        <v/>
      </c>
      <c r="J6" s="57">
        <f>I6*(1+0.0500)</f>
        <v/>
      </c>
      <c r="K6" s="57">
        <f>J6*(1+0.0400)</f>
        <v/>
      </c>
      <c r="L6" s="57">
        <f>K6*(1+0.0300)</f>
        <v/>
      </c>
    </row>
    <row r="7">
      <c r="B7" s="11" t="inlineStr">
        <is>
          <t xml:space="preserve">  Financial Services</t>
        </is>
      </c>
      <c r="C7" s="58" t="n">
        <v>400</v>
      </c>
      <c r="D7" s="58" t="n">
        <v>500</v>
      </c>
      <c r="E7" s="58" t="n">
        <v>600</v>
      </c>
      <c r="F7" s="58" t="n">
        <v>800</v>
      </c>
      <c r="G7" s="58" t="n">
        <v>1000</v>
      </c>
      <c r="H7" s="57">
        <f>1000</f>
        <v/>
      </c>
      <c r="I7" s="57">
        <f>H7*(1+0.0500)</f>
        <v/>
      </c>
      <c r="J7" s="57">
        <f>I7*(1+0.0400)</f>
        <v/>
      </c>
      <c r="K7" s="57">
        <f>J7*(1+0.0300)</f>
        <v/>
      </c>
      <c r="L7" s="57">
        <f>K7*(1+0.0200)</f>
        <v/>
      </c>
    </row>
    <row r="8">
      <c r="B8" s="8" t="inlineStr">
        <is>
          <t xml:space="preserve">  Satellite Internet</t>
        </is>
      </c>
      <c r="C8" s="56" t="n">
        <v>200</v>
      </c>
      <c r="D8" s="56" t="n">
        <v>400</v>
      </c>
      <c r="E8" s="56" t="n">
        <v>800</v>
      </c>
      <c r="F8" s="56" t="n">
        <v>1400</v>
      </c>
      <c r="G8" s="56" t="n">
        <v>2000</v>
      </c>
      <c r="H8" s="57">
        <f>2000</f>
        <v/>
      </c>
      <c r="I8" s="57">
        <f>H8*(1+0.1200)</f>
        <v/>
      </c>
      <c r="J8" s="57">
        <f>I8*(1+0.1000)</f>
        <v/>
      </c>
      <c r="K8" s="57">
        <f>J8*(1+0.0800)</f>
        <v/>
      </c>
      <c r="L8" s="57">
        <f>K8*(1+0.0600)</f>
        <v/>
      </c>
    </row>
    <row r="9">
      <c r="B9" s="11" t="inlineStr">
        <is>
          <t xml:space="preserve">  Social Media</t>
        </is>
      </c>
      <c r="C9" s="58" t="n">
        <v>300</v>
      </c>
      <c r="D9" s="58" t="n">
        <v>500</v>
      </c>
      <c r="E9" s="58" t="n">
        <v>800</v>
      </c>
      <c r="F9" s="58" t="n">
        <v>1200</v>
      </c>
      <c r="G9" s="58" t="n">
        <v>1500</v>
      </c>
      <c r="H9" s="57">
        <f>1500</f>
        <v/>
      </c>
      <c r="I9" s="57">
        <f>H9*(1+0.0300)</f>
        <v/>
      </c>
      <c r="J9" s="57">
        <f>I9*(1+0.0200)</f>
        <v/>
      </c>
      <c r="K9" s="57">
        <f>J9*(1+0.0200)</f>
        <v/>
      </c>
      <c r="L9" s="57">
        <f>K9*(1+0.0100)</f>
        <v/>
      </c>
    </row>
    <row r="10">
      <c r="B10" s="8" t="inlineStr">
        <is>
          <t xml:space="preserve">  Robotics</t>
        </is>
      </c>
      <c r="C10" s="56" t="n">
        <v>50</v>
      </c>
      <c r="D10" s="56" t="n">
        <v>100</v>
      </c>
      <c r="E10" s="56" t="n">
        <v>200</v>
      </c>
      <c r="F10" s="56" t="n">
        <v>400</v>
      </c>
      <c r="G10" s="56" t="n">
        <v>700</v>
      </c>
      <c r="H10" s="57">
        <f>700</f>
        <v/>
      </c>
      <c r="I10" s="57">
        <f>H10*(1+0.1000)</f>
        <v/>
      </c>
      <c r="J10" s="57">
        <f>I10*(1+0.0800)</f>
        <v/>
      </c>
      <c r="K10" s="57">
        <f>J10*(1+0.0600)</f>
        <v/>
      </c>
      <c r="L10" s="57">
        <f>K10*(1+0.0500)</f>
        <v/>
      </c>
    </row>
    <row r="11">
      <c r="B11" s="11" t="inlineStr">
        <is>
          <t xml:space="preserve">  Neural Interface</t>
        </is>
      </c>
      <c r="C11" s="58" t="n">
        <v>30</v>
      </c>
      <c r="D11" s="58" t="n">
        <v>50</v>
      </c>
      <c r="E11" s="58" t="n">
        <v>100</v>
      </c>
      <c r="F11" s="58" t="n">
        <v>200</v>
      </c>
      <c r="G11" s="58" t="n">
        <v>400</v>
      </c>
      <c r="H11" s="57">
        <f>400</f>
        <v/>
      </c>
      <c r="I11" s="57">
        <f>H11*(1+0.1500)</f>
        <v/>
      </c>
      <c r="J11" s="57">
        <f>I11*(1+0.1200)</f>
        <v/>
      </c>
      <c r="K11" s="57">
        <f>J11*(1+0.1000)</f>
        <v/>
      </c>
      <c r="L11" s="57">
        <f>K11*(1+0.0800)</f>
        <v/>
      </c>
    </row>
    <row r="12">
      <c r="B12" s="8" t="inlineStr">
        <is>
          <t xml:space="preserve">  Underground Transport</t>
        </is>
      </c>
      <c r="C12" s="56" t="n">
        <v>20</v>
      </c>
      <c r="D12" s="56" t="n">
        <v>50</v>
      </c>
      <c r="E12" s="56" t="n">
        <v>100</v>
      </c>
      <c r="F12" s="56" t="n">
        <v>200</v>
      </c>
      <c r="G12" s="56" t="n">
        <v>300</v>
      </c>
      <c r="H12" s="57">
        <f>300</f>
        <v/>
      </c>
      <c r="I12" s="57">
        <f>H12*(1+0.0500)</f>
        <v/>
      </c>
      <c r="J12" s="57">
        <f>I12*(1+0.0400)</f>
        <v/>
      </c>
      <c r="K12" s="57">
        <f>J12*(1+0.0300)</f>
        <v/>
      </c>
      <c r="L12" s="57">
        <f>K12*(1+0.0300)</f>
        <v/>
      </c>
    </row>
    <row r="13">
      <c r="B13" s="49" t="inlineStr">
        <is>
          <t>总收入</t>
        </is>
      </c>
      <c r="C13" s="59">
        <f>C4+C5+C6+C7+C8+C9+C10+C11+C12</f>
        <v/>
      </c>
      <c r="D13" s="59">
        <f>D4+D5+D6+D7+D8+D9+D10+D11+D12</f>
        <v/>
      </c>
      <c r="E13" s="59">
        <f>E4+E5+E6+E7+E8+E9+E10+E11+E12</f>
        <v/>
      </c>
      <c r="F13" s="59">
        <f>F4+F5+F6+F7+F8+F9+F10+F11+F12</f>
        <v/>
      </c>
      <c r="G13" s="59">
        <f>G4+G5+G6+G7+G8+G9+G10+G11+G12</f>
        <v/>
      </c>
      <c r="H13" s="59">
        <f>H4+H5+H6+H7+H8+H9+H10+H11+H12</f>
        <v/>
      </c>
      <c r="I13" s="59">
        <f>I4+I5+I6+I7+I8+I9+I10+I11+I12</f>
        <v/>
      </c>
      <c r="J13" s="59">
        <f>J4+J5+J6+J7+J8+J9+J10+J11+J12</f>
        <v/>
      </c>
      <c r="K13" s="59">
        <f>K4+K5+K6+K7+K8+K9+K10+K11+K12</f>
        <v/>
      </c>
      <c r="L13" s="59">
        <f>L4+L5+L6+L7+L8+L9+L10+L11+L12</f>
        <v/>
      </c>
    </row>
    <row r="14">
      <c r="B14" s="9" t="inlineStr">
        <is>
          <t>营收同比增速</t>
        </is>
      </c>
      <c r="C14" s="60" t="n"/>
      <c r="D14" s="60">
        <f>IF(C13=0,0,(D13-C13)/C13)</f>
        <v/>
      </c>
      <c r="E14" s="60">
        <f>IF(D13=0,0,(E13-D13)/D13)</f>
        <v/>
      </c>
      <c r="F14" s="60">
        <f>IF(E13=0,0,(F13-E13)/E13)</f>
        <v/>
      </c>
      <c r="G14" s="60">
        <f>IF(F13=0,0,(G13-F13)/F13)</f>
        <v/>
      </c>
      <c r="H14" s="60">
        <f>IF(G13=0,0,(H13-G13)/G13)</f>
        <v/>
      </c>
      <c r="I14" s="60">
        <f>IF(H13=0,0,(I13-H13)/H13)</f>
        <v/>
      </c>
      <c r="J14" s="60">
        <f>IF(I13=0,0,(J13-I13)/I13)</f>
        <v/>
      </c>
      <c r="K14" s="60">
        <f>IF(J13=0,0,(K13-J13)/J13)</f>
        <v/>
      </c>
      <c r="L14" s="60">
        <f>IF(K13=0,0,(L13-K13)/K13)</f>
        <v/>
      </c>
    </row>
    <row r="15">
      <c r="B15" s="45" t="inlineStr">
        <is>
          <t>Profitability</t>
        </is>
      </c>
      <c r="C15" s="46" t="n"/>
      <c r="D15" s="46" t="n"/>
      <c r="E15" s="46" t="n"/>
      <c r="F15" s="46" t="n"/>
      <c r="G15" s="46" t="n"/>
      <c r="H15" s="46" t="n"/>
      <c r="I15" s="46" t="n"/>
      <c r="J15" s="46" t="n"/>
      <c r="K15" s="46" t="n"/>
      <c r="L15" s="46" t="n"/>
    </row>
    <row r="16">
      <c r="B16" s="61" t="inlineStr">
        <is>
          <t>EBITDA利润率</t>
        </is>
      </c>
      <c r="C16" s="62" t="n">
        <v>0.1</v>
      </c>
      <c r="D16" s="62" t="n">
        <v>0.13</v>
      </c>
      <c r="E16" s="62" t="n">
        <v>0.15</v>
      </c>
      <c r="F16" s="62" t="n">
        <v>0.1602564102564103</v>
      </c>
      <c r="G16" s="62" t="n">
        <v>0.18</v>
      </c>
      <c r="H16" s="47" t="n">
        <v>0.18</v>
      </c>
      <c r="I16" s="47" t="n">
        <v>0.19</v>
      </c>
      <c r="J16" s="47" t="n">
        <v>0.19</v>
      </c>
      <c r="K16" s="47" t="n">
        <v>0.2</v>
      </c>
      <c r="L16" s="47" t="n">
        <v>0.2</v>
      </c>
    </row>
    <row r="17">
      <c r="B17" s="27" t="inlineStr">
        <is>
          <t>EBITDA</t>
        </is>
      </c>
      <c r="C17" s="63" t="n">
        <v>530</v>
      </c>
      <c r="D17" s="63" t="n">
        <v>1014</v>
      </c>
      <c r="E17" s="63" t="n">
        <v>1680</v>
      </c>
      <c r="F17" s="63" t="n">
        <v>2500</v>
      </c>
      <c r="G17" s="63" t="n">
        <v>3600</v>
      </c>
      <c r="H17" s="57">
        <f>H13*H16</f>
        <v/>
      </c>
      <c r="I17" s="57">
        <f>I13*I16</f>
        <v/>
      </c>
      <c r="J17" s="57">
        <f>J13*J16</f>
        <v/>
      </c>
      <c r="K17" s="57">
        <f>K13*K16</f>
        <v/>
      </c>
      <c r="L17" s="57">
        <f>L13*L16</f>
        <v/>
      </c>
    </row>
    <row r="18">
      <c r="B18" s="27" t="inlineStr">
        <is>
          <t>折旧与摊销</t>
        </is>
      </c>
      <c r="C18" s="57">
        <f>C13*0.0450</f>
        <v/>
      </c>
      <c r="D18" s="57">
        <f>D13*0.0450</f>
        <v/>
      </c>
      <c r="E18" s="57">
        <f>E13*0.0450</f>
        <v/>
      </c>
      <c r="F18" s="57">
        <f>F13*0.0450</f>
        <v/>
      </c>
      <c r="G18" s="57">
        <f>G13*0.0450</f>
        <v/>
      </c>
      <c r="H18" s="57">
        <f>H13*0.0450</f>
        <v/>
      </c>
      <c r="I18" s="57">
        <f>I13*0.0450</f>
        <v/>
      </c>
      <c r="J18" s="57">
        <f>J13*0.0450</f>
        <v/>
      </c>
      <c r="K18" s="57">
        <f>K13*0.0450</f>
        <v/>
      </c>
      <c r="L18" s="57">
        <f>L13*0.0450</f>
        <v/>
      </c>
    </row>
    <row r="19">
      <c r="B19" s="27" t="inlineStr">
        <is>
          <t>EBIT</t>
        </is>
      </c>
      <c r="C19" s="57">
        <f>C17-C18</f>
        <v/>
      </c>
      <c r="D19" s="57">
        <f>D17-D18</f>
        <v/>
      </c>
      <c r="E19" s="57">
        <f>E17-E18</f>
        <v/>
      </c>
      <c r="F19" s="57">
        <f>F17-F18</f>
        <v/>
      </c>
      <c r="G19" s="57">
        <f>G17-G18</f>
        <v/>
      </c>
      <c r="H19" s="57">
        <f>H17-H18</f>
        <v/>
      </c>
      <c r="I19" s="57">
        <f>I17-I18</f>
        <v/>
      </c>
      <c r="J19" s="57">
        <f>J17-J18</f>
        <v/>
      </c>
      <c r="K19" s="57">
        <f>K17-K18</f>
        <v/>
      </c>
      <c r="L19" s="57">
        <f>L17-L18</f>
        <v/>
      </c>
    </row>
    <row r="20">
      <c r="B20" s="27" t="inlineStr">
        <is>
          <t>NOPAT</t>
        </is>
      </c>
      <c r="C20" s="57">
        <f>C19*(1-0.2100)</f>
        <v/>
      </c>
      <c r="D20" s="57">
        <f>D19*(1-0.2100)</f>
        <v/>
      </c>
      <c r="E20" s="57">
        <f>E19*(1-0.2100)</f>
        <v/>
      </c>
      <c r="F20" s="57">
        <f>F19*(1-0.2100)</f>
        <v/>
      </c>
      <c r="G20" s="57">
        <f>G19*(1-0.2100)</f>
        <v/>
      </c>
      <c r="H20" s="57">
        <f>H19*(1-0.2100)</f>
        <v/>
      </c>
      <c r="I20" s="57">
        <f>I19*(1-0.2100)</f>
        <v/>
      </c>
      <c r="J20" s="57">
        <f>J19*(1-0.2100)</f>
        <v/>
      </c>
      <c r="K20" s="57">
        <f>K19*(1-0.2100)</f>
        <v/>
      </c>
      <c r="L20" s="57">
        <f>L19*(1-0.2100)</f>
        <v/>
      </c>
    </row>
    <row r="21">
      <c r="B21" s="45" t="inlineStr">
        <is>
          <t>自由现金流(UFCF)</t>
        </is>
      </c>
      <c r="C21" s="46" t="n"/>
      <c r="D21" s="46" t="n"/>
      <c r="E21" s="46" t="n"/>
      <c r="F21" s="46" t="n"/>
      <c r="G21" s="46" t="n"/>
      <c r="H21" s="46" t="n"/>
      <c r="I21" s="46" t="n"/>
      <c r="J21" s="46" t="n"/>
      <c r="K21" s="46" t="n"/>
      <c r="L21" s="46" t="n"/>
    </row>
    <row r="22">
      <c r="B22" s="64" t="inlineStr">
        <is>
          <t>资本支出</t>
        </is>
      </c>
      <c r="C22" s="65">
        <f>C13*0.0700</f>
        <v/>
      </c>
      <c r="D22" s="65">
        <f>D13*0.0700</f>
        <v/>
      </c>
      <c r="E22" s="65">
        <f>E13*0.0700</f>
        <v/>
      </c>
      <c r="F22" s="65">
        <f>F13*0.0700</f>
        <v/>
      </c>
      <c r="G22" s="65">
        <f>G13*0.0700</f>
        <v/>
      </c>
      <c r="H22" s="65">
        <f>H13*0.0700</f>
        <v/>
      </c>
      <c r="I22" s="65">
        <f>I13*0.0700</f>
        <v/>
      </c>
      <c r="J22" s="65">
        <f>J13*0.0700</f>
        <v/>
      </c>
      <c r="K22" s="65">
        <f>K13*0.0700</f>
        <v/>
      </c>
      <c r="L22" s="65">
        <f>L13*0.0700</f>
        <v/>
      </c>
    </row>
    <row r="23">
      <c r="B23" s="64" t="inlineStr">
        <is>
          <t>营运资金变动</t>
        </is>
      </c>
      <c r="C23" s="65">
        <f>C13*0.0600</f>
        <v/>
      </c>
      <c r="D23" s="65">
        <f>(D13-C13)*0.1200</f>
        <v/>
      </c>
      <c r="E23" s="65">
        <f>(E13-D13)*0.1200</f>
        <v/>
      </c>
      <c r="F23" s="65">
        <f>(F13-E13)*0.1200</f>
        <v/>
      </c>
      <c r="G23" s="65">
        <f>(G13-F13)*0.1200</f>
        <v/>
      </c>
      <c r="H23" s="65">
        <f>(H13-G13)*0.1200</f>
        <v/>
      </c>
      <c r="I23" s="65">
        <f>(I13-H13)*0.1200</f>
        <v/>
      </c>
      <c r="J23" s="65">
        <f>(J13-I13)*0.1200</f>
        <v/>
      </c>
      <c r="K23" s="65">
        <f>(K13-J13)*0.1200</f>
        <v/>
      </c>
      <c r="L23" s="65">
        <f>(L13-K13)*0.1200</f>
        <v/>
      </c>
    </row>
    <row r="24">
      <c r="B24" s="66" t="inlineStr">
        <is>
          <t>自由现金流(UFCF)</t>
        </is>
      </c>
      <c r="C24" s="67">
        <f>C20+C18-C22-C23</f>
        <v/>
      </c>
      <c r="D24" s="67">
        <f>D20+D18-D22-D23</f>
        <v/>
      </c>
      <c r="E24" s="67">
        <f>E20+E18-E22-E23</f>
        <v/>
      </c>
      <c r="F24" s="67">
        <f>F20+F18-F22-F23</f>
        <v/>
      </c>
      <c r="G24" s="67">
        <f>G20+G18-G22-G23</f>
        <v/>
      </c>
      <c r="H24" s="67">
        <f>H20+H18-H22-H23</f>
        <v/>
      </c>
      <c r="I24" s="67">
        <f>I20+I18-I22-I23</f>
        <v/>
      </c>
      <c r="J24" s="67">
        <f>J20+J18-J22-J23</f>
        <v/>
      </c>
      <c r="K24" s="67">
        <f>K20+K18-K22-K23</f>
        <v/>
      </c>
      <c r="L24" s="67">
        <f>L20+L18-L22-L23</f>
        <v/>
      </c>
    </row>
    <row r="25">
      <c r="B25" s="45" t="inlineStr">
        <is>
          <t>终值</t>
        </is>
      </c>
      <c r="C25" s="46" t="n"/>
      <c r="D25" s="46" t="n"/>
      <c r="E25" s="46" t="n"/>
      <c r="F25" s="46" t="n"/>
      <c r="G25" s="46" t="n"/>
      <c r="H25" s="46" t="n"/>
      <c r="I25" s="46" t="n"/>
      <c r="J25" s="46" t="n"/>
      <c r="K25" s="46" t="n"/>
      <c r="L25" s="46" t="n"/>
    </row>
    <row r="26">
      <c r="B26" s="9" t="inlineStr">
        <is>
          <t>折现期</t>
        </is>
      </c>
      <c r="C26" s="33" t="n"/>
      <c r="D26" s="33" t="n"/>
      <c r="E26" s="33" t="n"/>
      <c r="F26" s="33" t="n"/>
      <c r="G26" s="33" t="n"/>
      <c r="H26" s="33" t="n">
        <v>0</v>
      </c>
      <c r="I26" s="33" t="n">
        <v>1</v>
      </c>
      <c r="J26" s="33" t="n">
        <v>2</v>
      </c>
      <c r="K26" s="33" t="n">
        <v>3</v>
      </c>
      <c r="L26" s="33" t="n">
        <v>4</v>
      </c>
    </row>
    <row r="27">
      <c r="B27" s="27" t="inlineStr">
        <is>
          <t>FCF现值</t>
        </is>
      </c>
      <c r="C27" s="57" t="n"/>
      <c r="D27" s="57" t="n"/>
      <c r="E27" s="57" t="n"/>
      <c r="F27" s="57" t="n"/>
      <c r="G27" s="57" t="n"/>
      <c r="H27" s="57">
        <f>H24/(1+0.138335)^1</f>
        <v/>
      </c>
      <c r="I27" s="57">
        <f>I24/(1+0.138335)^2</f>
        <v/>
      </c>
      <c r="J27" s="57">
        <f>J24/(1+0.138335)^3</f>
        <v/>
      </c>
      <c r="K27" s="57">
        <f>K24/(1+0.138335)^4</f>
        <v/>
      </c>
      <c r="L27" s="57">
        <f>L24/(1+0.138335)^5</f>
        <v/>
      </c>
    </row>
    <row r="28">
      <c r="B28" s="46" t="inlineStr"/>
      <c r="C28" s="46" t="n"/>
      <c r="D28" s="46" t="n"/>
      <c r="E28" s="46" t="n"/>
      <c r="F28" s="46" t="n"/>
      <c r="G28" s="46" t="n"/>
      <c r="H28" s="46" t="n"/>
      <c r="I28" s="46" t="n"/>
      <c r="J28" s="46" t="n"/>
      <c r="K28" s="46" t="n"/>
      <c r="L28" s="46" t="n"/>
    </row>
    <row r="29">
      <c r="B29" s="45" t="inlineStr">
        <is>
          <t>关键输入参数</t>
        </is>
      </c>
      <c r="C29" s="46" t="n"/>
      <c r="D29" s="46" t="n"/>
      <c r="E29" s="46" t="n"/>
      <c r="F29" s="46" t="n"/>
      <c r="G29" s="46" t="n"/>
      <c r="H29" s="46" t="n"/>
      <c r="I29" s="46" t="n"/>
      <c r="J29" s="46" t="n"/>
      <c r="K29" s="46" t="n"/>
      <c r="L29" s="46" t="n"/>
    </row>
    <row r="30">
      <c r="B30" s="27" t="inlineStr">
        <is>
          <t>FCF现值合计</t>
        </is>
      </c>
      <c r="C30" s="57">
        <f>SUM(C27:L27)</f>
        <v/>
      </c>
      <c r="D30" s="46" t="n"/>
      <c r="E30" s="46" t="n"/>
      <c r="F30" s="46" t="n"/>
      <c r="G30" s="46" t="n"/>
      <c r="H30" s="46" t="n"/>
      <c r="I30" s="46" t="n"/>
      <c r="J30" s="46" t="n"/>
      <c r="K30" s="46" t="n"/>
      <c r="L30" s="46" t="n"/>
    </row>
    <row r="31">
      <c r="B31" s="61" t="inlineStr">
        <is>
          <t>终值增长率</t>
        </is>
      </c>
      <c r="C31" s="47" t="n">
        <v>0.02</v>
      </c>
      <c r="D31" s="46" t="n"/>
      <c r="E31" s="46" t="n"/>
      <c r="F31" s="46" t="n"/>
      <c r="G31" s="46" t="n"/>
      <c r="H31" s="46" t="n"/>
      <c r="I31" s="46" t="n"/>
      <c r="J31" s="46" t="n"/>
      <c r="K31" s="46" t="n"/>
      <c r="L31" s="46" t="n"/>
    </row>
    <row r="32">
      <c r="B32" s="61" t="inlineStr">
        <is>
          <t>退出倍数</t>
        </is>
      </c>
      <c r="C32" s="68" t="n">
        <v>8</v>
      </c>
      <c r="D32" s="46" t="n"/>
      <c r="E32" s="46" t="n"/>
      <c r="F32" s="46" t="n"/>
      <c r="G32" s="46" t="n"/>
      <c r="H32" s="46" t="n"/>
      <c r="I32" s="46" t="n"/>
      <c r="J32" s="46" t="n"/>
      <c r="K32" s="46" t="n"/>
      <c r="L32" s="46" t="n"/>
    </row>
    <row r="33">
      <c r="B33" s="61" t="inlineStr">
        <is>
          <t>流通股本</t>
        </is>
      </c>
      <c r="C33" s="69" t="n">
        <v>1000</v>
      </c>
      <c r="D33" s="46" t="n"/>
      <c r="E33" s="46" t="n"/>
      <c r="F33" s="46" t="n"/>
      <c r="G33" s="46" t="n"/>
      <c r="H33" s="46" t="n"/>
      <c r="I33" s="46" t="n"/>
      <c r="J33" s="46" t="n"/>
      <c r="K33" s="46" t="n"/>
      <c r="L33" s="46" t="n"/>
    </row>
    <row r="34">
      <c r="B34" s="61" t="inlineStr">
        <is>
          <t>净债务</t>
        </is>
      </c>
      <c r="C34" s="70" t="n">
        <v>5000</v>
      </c>
      <c r="D34" s="46" t="n"/>
      <c r="E34" s="46" t="n"/>
      <c r="F34" s="46" t="n"/>
      <c r="G34" s="46" t="n"/>
      <c r="H34" s="46" t="n"/>
      <c r="I34" s="46" t="n"/>
      <c r="J34" s="46" t="n"/>
      <c r="K34" s="46" t="n"/>
      <c r="L34" s="46" t="n"/>
    </row>
    <row r="35">
      <c r="B35" s="61" t="inlineStr">
        <is>
          <t>WACC</t>
        </is>
      </c>
      <c r="C35" s="71">
        <f>'WACC拆解'!C20</f>
        <v/>
      </c>
      <c r="D35" s="72" t="inlineStr">
        <is>
          <t>WACC来源 → WACC拆解</t>
        </is>
      </c>
      <c r="E35" s="46" t="n"/>
      <c r="F35" s="46" t="n"/>
      <c r="G35" s="46" t="n"/>
      <c r="H35" s="46" t="n"/>
      <c r="I35" s="46" t="n"/>
      <c r="J35" s="46" t="n"/>
      <c r="K35" s="46" t="n"/>
      <c r="L35" s="46" t="n"/>
    </row>
    <row r="36">
      <c r="B36" s="46" t="inlineStr"/>
      <c r="C36" s="46" t="n"/>
      <c r="D36" s="46" t="n"/>
      <c r="E36" s="46" t="n"/>
      <c r="F36" s="46" t="n"/>
      <c r="G36" s="46" t="n"/>
      <c r="H36" s="46" t="n"/>
      <c r="I36" s="46" t="n"/>
      <c r="J36" s="46" t="n"/>
      <c r="K36" s="46" t="n"/>
      <c r="L36" s="46" t="n"/>
    </row>
    <row r="37">
      <c r="B37" s="45" t="inlineStr">
        <is>
          <t>终值</t>
        </is>
      </c>
      <c r="C37" s="46" t="n"/>
      <c r="D37" s="46" t="n"/>
      <c r="E37" s="46" t="n"/>
      <c r="F37" s="46" t="n"/>
      <c r="G37" s="46" t="n"/>
      <c r="H37" s="46" t="n"/>
      <c r="I37" s="46" t="n"/>
      <c r="J37" s="46" t="n"/>
      <c r="K37" s="46" t="n"/>
      <c r="L37" s="46" t="n"/>
    </row>
    <row r="38">
      <c r="B38" s="27" t="inlineStr">
        <is>
          <t>GGM终值</t>
        </is>
      </c>
      <c r="C38" s="57">
        <f>L24*(1+C31)/(C35-C31)</f>
        <v/>
      </c>
      <c r="D38" s="46" t="n"/>
      <c r="E38" s="46" t="n"/>
      <c r="F38" s="46" t="n"/>
      <c r="G38" s="46" t="n"/>
      <c r="H38" s="46" t="n"/>
      <c r="I38" s="46" t="n"/>
      <c r="J38" s="46" t="n"/>
      <c r="K38" s="46" t="n"/>
      <c r="L38" s="46" t="n"/>
    </row>
    <row r="39">
      <c r="B39" s="27" t="inlineStr">
        <is>
          <t>退出倍数终值</t>
        </is>
      </c>
      <c r="C39" s="57">
        <f>L17*C32</f>
        <v/>
      </c>
      <c r="D39" s="46" t="n"/>
      <c r="E39" s="46" t="n"/>
      <c r="F39" s="46" t="n"/>
      <c r="G39" s="46" t="n"/>
      <c r="H39" s="46" t="n"/>
      <c r="I39" s="46" t="n"/>
      <c r="J39" s="46" t="n"/>
      <c r="K39" s="46" t="n"/>
      <c r="L39" s="46" t="n"/>
    </row>
    <row r="40">
      <c r="B40" s="49" t="inlineStr">
        <is>
          <t>平均终值</t>
        </is>
      </c>
      <c r="C40" s="59">
        <f>(C38+C39)/2</f>
        <v/>
      </c>
      <c r="D40" s="46" t="n"/>
      <c r="E40" s="46" t="n"/>
      <c r="F40" s="46" t="n"/>
      <c r="G40" s="46" t="n"/>
      <c r="H40" s="46" t="n"/>
      <c r="I40" s="46" t="n"/>
      <c r="J40" s="46" t="n"/>
      <c r="K40" s="46" t="n"/>
      <c r="L40" s="46" t="n"/>
    </row>
    <row r="41">
      <c r="B41" s="27" t="inlineStr">
        <is>
          <t>终值现值</t>
        </is>
      </c>
      <c r="C41" s="57">
        <f>C40/(1+C35)^5</f>
        <v/>
      </c>
      <c r="D41" s="46" t="n"/>
      <c r="E41" s="46" t="n"/>
      <c r="F41" s="46" t="n"/>
      <c r="G41" s="46" t="n"/>
      <c r="H41" s="46" t="n"/>
      <c r="I41" s="46" t="n"/>
      <c r="J41" s="46" t="n"/>
      <c r="K41" s="46" t="n"/>
      <c r="L41" s="46" t="n"/>
    </row>
    <row r="42">
      <c r="B42" s="46" t="inlineStr"/>
      <c r="C42" s="46" t="n"/>
      <c r="D42" s="46" t="n"/>
      <c r="E42" s="46" t="n"/>
      <c r="F42" s="46" t="n"/>
      <c r="G42" s="46" t="n"/>
      <c r="H42" s="46" t="n"/>
      <c r="I42" s="46" t="n"/>
      <c r="J42" s="46" t="n"/>
      <c r="K42" s="46" t="n"/>
      <c r="L42" s="46" t="n"/>
    </row>
    <row r="43">
      <c r="B43" s="73" t="inlineStr">
        <is>
          <t>企业价值</t>
        </is>
      </c>
      <c r="C43" s="74">
        <f>C30+C41</f>
        <v/>
      </c>
      <c r="D43" s="46" t="n"/>
      <c r="E43" s="46" t="n"/>
      <c r="F43" s="46" t="n"/>
      <c r="G43" s="46" t="n"/>
      <c r="H43" s="46" t="n"/>
      <c r="I43" s="46" t="n"/>
      <c r="J43" s="46" t="n"/>
      <c r="K43" s="46" t="n"/>
      <c r="L43" s="46" t="n"/>
    </row>
    <row r="44">
      <c r="B44" s="73" t="inlineStr">
        <is>
          <t>股权价值</t>
        </is>
      </c>
      <c r="C44" s="74">
        <f>C43-C34</f>
        <v/>
      </c>
      <c r="D44" s="46" t="n"/>
      <c r="E44" s="46" t="n"/>
      <c r="F44" s="46" t="n"/>
      <c r="G44" s="46" t="n"/>
      <c r="H44" s="46" t="n"/>
      <c r="I44" s="46" t="n"/>
      <c r="J44" s="46" t="n"/>
      <c r="K44" s="46" t="n"/>
      <c r="L44" s="46" t="n"/>
    </row>
    <row r="45">
      <c r="B45" s="53" t="inlineStr">
        <is>
          <t>每股价值</t>
        </is>
      </c>
      <c r="C45" s="75">
        <f>C44/C33</f>
        <v/>
      </c>
      <c r="D45" s="46" t="n"/>
      <c r="E45" s="46" t="n"/>
      <c r="F45" s="46" t="n"/>
      <c r="G45" s="46" t="n"/>
      <c r="H45" s="46" t="n"/>
      <c r="I45" s="46" t="n"/>
      <c r="J45" s="46" t="n"/>
      <c r="K45" s="46" t="n"/>
      <c r="L45" s="46" t="n"/>
    </row>
    <row r="46">
      <c r="B46" s="27" t="inlineStr">
        <is>
          <t>隐含EV/Revenue</t>
        </is>
      </c>
      <c r="C46" s="76">
        <f>IF(L13=0,0,C43/L13)</f>
        <v/>
      </c>
      <c r="D46" s="46" t="n"/>
      <c r="E46" s="46" t="n"/>
      <c r="F46" s="46" t="n"/>
      <c r="G46" s="46" t="n"/>
      <c r="H46" s="46" t="n"/>
      <c r="I46" s="46" t="n"/>
      <c r="J46" s="46" t="n"/>
      <c r="K46" s="46" t="n"/>
      <c r="L46" s="46" t="n"/>
    </row>
    <row r="47">
      <c r="B47" s="27" t="inlineStr">
        <is>
          <t>隐含EV/EBITDA</t>
        </is>
      </c>
      <c r="C47" s="76">
        <f>IF(L17=0,0,C43/L17)</f>
        <v/>
      </c>
      <c r="D47" s="46" t="n"/>
      <c r="E47" s="46" t="n"/>
      <c r="F47" s="46" t="n"/>
      <c r="G47" s="46" t="n"/>
      <c r="H47" s="46" t="n"/>
      <c r="I47" s="46" t="n"/>
      <c r="J47" s="46" t="n"/>
      <c r="K47" s="46" t="n"/>
      <c r="L47" s="46" t="n"/>
    </row>
    <row r="48">
      <c r="B48" s="27" t="inlineStr">
        <is>
          <t>收入CAGR</t>
        </is>
      </c>
      <c r="C48" s="52">
        <f>(L13/H13)^(1/5)-1</f>
        <v/>
      </c>
      <c r="D48" s="46" t="n"/>
      <c r="E48" s="46" t="n"/>
      <c r="F48" s="46" t="n"/>
      <c r="G48" s="46" t="n"/>
      <c r="H48" s="46" t="n"/>
      <c r="I48" s="46" t="n"/>
      <c r="J48" s="46" t="n"/>
      <c r="K48" s="46" t="n"/>
      <c r="L48" s="46" t="n"/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tabColor rgb="00375623"/>
    <outlinePr summaryBelow="1" summaryRight="1"/>
    <pageSetUpPr/>
  </sheetPr>
  <dimension ref="B1:AK62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2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>
      <c r="B1" s="77" t="inlineStr">
        <is>
          <t>基准情景</t>
        </is>
      </c>
    </row>
    <row r="2">
      <c r="B2" s="44" t="inlineStr"/>
      <c r="C2" s="44" t="inlineStr">
        <is>
          <t>FY21A</t>
        </is>
      </c>
      <c r="D2" s="44" t="inlineStr">
        <is>
          <t>FY22A</t>
        </is>
      </c>
      <c r="E2" s="44" t="inlineStr">
        <is>
          <t>FY23A</t>
        </is>
      </c>
      <c r="F2" s="44" t="inlineStr">
        <is>
          <t>FY24A</t>
        </is>
      </c>
      <c r="G2" s="44" t="inlineStr">
        <is>
          <t>FY25A</t>
        </is>
      </c>
      <c r="H2" s="44" t="inlineStr">
        <is>
          <t>FY26E</t>
        </is>
      </c>
      <c r="I2" s="44" t="inlineStr">
        <is>
          <t>FY27E</t>
        </is>
      </c>
      <c r="J2" s="44" t="inlineStr">
        <is>
          <t>FY28E</t>
        </is>
      </c>
      <c r="K2" s="44" t="inlineStr">
        <is>
          <t>FY29E</t>
        </is>
      </c>
      <c r="L2" s="44" t="inlineStr">
        <is>
          <t>FY30E</t>
        </is>
      </c>
    </row>
    <row r="3">
      <c r="B3" s="45" t="inlineStr">
        <is>
          <t>总收入</t>
        </is>
      </c>
      <c r="C3" s="46" t="n"/>
      <c r="D3" s="46" t="n"/>
      <c r="E3" s="46" t="n"/>
      <c r="F3" s="46" t="n"/>
      <c r="G3" s="46" t="n"/>
      <c r="H3" s="46" t="n"/>
      <c r="I3" s="46" t="n"/>
      <c r="J3" s="46" t="n"/>
      <c r="K3" s="46" t="n"/>
      <c r="L3" s="46" t="n"/>
    </row>
    <row r="4">
      <c r="B4" s="8" t="inlineStr">
        <is>
          <t xml:space="preserve">  Autonomy &amp; AI</t>
        </is>
      </c>
      <c r="C4" s="56" t="n">
        <v>800</v>
      </c>
      <c r="D4" s="56" t="n">
        <v>1400</v>
      </c>
      <c r="E4" s="56" t="n">
        <v>2200</v>
      </c>
      <c r="F4" s="56" t="n">
        <v>3200</v>
      </c>
      <c r="G4" s="56" t="n">
        <v>4500</v>
      </c>
      <c r="H4" s="57">
        <f>4500</f>
        <v/>
      </c>
      <c r="I4" s="57">
        <f>H4*(1+0.1500)</f>
        <v/>
      </c>
      <c r="J4" s="57">
        <f>I4*(1+0.1200)</f>
        <v/>
      </c>
      <c r="K4" s="57">
        <f>J4*(1+0.1000)</f>
        <v/>
      </c>
      <c r="L4" s="57">
        <f>K4*(1+0.0800)</f>
        <v/>
      </c>
    </row>
    <row r="5">
      <c r="B5" s="11" t="inlineStr">
        <is>
          <t xml:space="preserve">  EV Manufacturing</t>
        </is>
      </c>
      <c r="C5" s="58" t="n">
        <v>2500</v>
      </c>
      <c r="D5" s="58" t="n">
        <v>3200</v>
      </c>
      <c r="E5" s="58" t="n">
        <v>4000</v>
      </c>
      <c r="F5" s="58" t="n">
        <v>5000</v>
      </c>
      <c r="G5" s="58" t="n">
        <v>5800</v>
      </c>
      <c r="H5" s="57">
        <f>5800</f>
        <v/>
      </c>
      <c r="I5" s="57">
        <f>H5*(1+0.1000)</f>
        <v/>
      </c>
      <c r="J5" s="57">
        <f>I5*(1+0.0800)</f>
        <v/>
      </c>
      <c r="K5" s="57">
        <f>J5*(1+0.0700)</f>
        <v/>
      </c>
      <c r="L5" s="57">
        <f>K5*(1+0.0500)</f>
        <v/>
      </c>
    </row>
    <row r="6">
      <c r="B6" s="8" t="inlineStr">
        <is>
          <t xml:space="preserve">  Energy &amp; Storage</t>
        </is>
      </c>
      <c r="C6" s="56" t="n">
        <v>800</v>
      </c>
      <c r="D6" s="56" t="n">
        <v>1000</v>
      </c>
      <c r="E6" s="56" t="n">
        <v>1400</v>
      </c>
      <c r="F6" s="56" t="n">
        <v>1800</v>
      </c>
      <c r="G6" s="56" t="n">
        <v>2200</v>
      </c>
      <c r="H6" s="57">
        <f>2200</f>
        <v/>
      </c>
      <c r="I6" s="57">
        <f>H6*(1+0.1200)</f>
        <v/>
      </c>
      <c r="J6" s="57">
        <f>I6*(1+0.1000)</f>
        <v/>
      </c>
      <c r="K6" s="57">
        <f>J6*(1+0.0800)</f>
        <v/>
      </c>
      <c r="L6" s="57">
        <f>K6*(1+0.0700)</f>
        <v/>
      </c>
    </row>
    <row r="7">
      <c r="B7" s="11" t="inlineStr">
        <is>
          <t xml:space="preserve">  Financial Services</t>
        </is>
      </c>
      <c r="C7" s="58" t="n">
        <v>400</v>
      </c>
      <c r="D7" s="58" t="n">
        <v>500</v>
      </c>
      <c r="E7" s="58" t="n">
        <v>600</v>
      </c>
      <c r="F7" s="58" t="n">
        <v>800</v>
      </c>
      <c r="G7" s="58" t="n">
        <v>1000</v>
      </c>
      <c r="H7" s="57">
        <f>1000</f>
        <v/>
      </c>
      <c r="I7" s="57">
        <f>H7*(1+0.1000)</f>
        <v/>
      </c>
      <c r="J7" s="57">
        <f>I7*(1+0.0800)</f>
        <v/>
      </c>
      <c r="K7" s="57">
        <f>J7*(1+0.0700)</f>
        <v/>
      </c>
      <c r="L7" s="57">
        <f>K7*(1+0.0600)</f>
        <v/>
      </c>
    </row>
    <row r="8">
      <c r="B8" s="8" t="inlineStr">
        <is>
          <t xml:space="preserve">  Satellite Internet</t>
        </is>
      </c>
      <c r="C8" s="56" t="n">
        <v>200</v>
      </c>
      <c r="D8" s="56" t="n">
        <v>400</v>
      </c>
      <c r="E8" s="56" t="n">
        <v>800</v>
      </c>
      <c r="F8" s="56" t="n">
        <v>1400</v>
      </c>
      <c r="G8" s="56" t="n">
        <v>2000</v>
      </c>
      <c r="H8" s="57">
        <f>2000</f>
        <v/>
      </c>
      <c r="I8" s="57">
        <f>H8*(1+0.2000)</f>
        <v/>
      </c>
      <c r="J8" s="57">
        <f>I8*(1+0.1800)</f>
        <v/>
      </c>
      <c r="K8" s="57">
        <f>J8*(1+0.1500)</f>
        <v/>
      </c>
      <c r="L8" s="57">
        <f>K8*(1+0.1200)</f>
        <v/>
      </c>
    </row>
    <row r="9">
      <c r="B9" s="11" t="inlineStr">
        <is>
          <t xml:space="preserve">  Social Media</t>
        </is>
      </c>
      <c r="C9" s="58" t="n">
        <v>300</v>
      </c>
      <c r="D9" s="58" t="n">
        <v>500</v>
      </c>
      <c r="E9" s="58" t="n">
        <v>800</v>
      </c>
      <c r="F9" s="58" t="n">
        <v>1200</v>
      </c>
      <c r="G9" s="58" t="n">
        <v>1500</v>
      </c>
      <c r="H9" s="57">
        <f>1500</f>
        <v/>
      </c>
      <c r="I9" s="57">
        <f>H9*(1+0.0800)</f>
        <v/>
      </c>
      <c r="J9" s="57">
        <f>I9*(1+0.0700)</f>
        <v/>
      </c>
      <c r="K9" s="57">
        <f>J9*(1+0.0600)</f>
        <v/>
      </c>
      <c r="L9" s="57">
        <f>K9*(1+0.0500)</f>
        <v/>
      </c>
    </row>
    <row r="10">
      <c r="B10" s="8" t="inlineStr">
        <is>
          <t xml:space="preserve">  Robotics</t>
        </is>
      </c>
      <c r="C10" s="56" t="n">
        <v>50</v>
      </c>
      <c r="D10" s="56" t="n">
        <v>100</v>
      </c>
      <c r="E10" s="56" t="n">
        <v>200</v>
      </c>
      <c r="F10" s="56" t="n">
        <v>400</v>
      </c>
      <c r="G10" s="56" t="n">
        <v>700</v>
      </c>
      <c r="H10" s="57">
        <f>700</f>
        <v/>
      </c>
      <c r="I10" s="57">
        <f>H10*(1+0.2500)</f>
        <v/>
      </c>
      <c r="J10" s="57">
        <f>I10*(1+0.2000)</f>
        <v/>
      </c>
      <c r="K10" s="57">
        <f>J10*(1+0.1500)</f>
        <v/>
      </c>
      <c r="L10" s="57">
        <f>K10*(1+0.1200)</f>
        <v/>
      </c>
    </row>
    <row r="11">
      <c r="B11" s="11" t="inlineStr">
        <is>
          <t xml:space="preserve">  Neural Interface</t>
        </is>
      </c>
      <c r="C11" s="58" t="n">
        <v>30</v>
      </c>
      <c r="D11" s="58" t="n">
        <v>50</v>
      </c>
      <c r="E11" s="58" t="n">
        <v>100</v>
      </c>
      <c r="F11" s="58" t="n">
        <v>200</v>
      </c>
      <c r="G11" s="58" t="n">
        <v>400</v>
      </c>
      <c r="H11" s="57">
        <f>400</f>
        <v/>
      </c>
      <c r="I11" s="57">
        <f>H11*(1+0.3000)</f>
        <v/>
      </c>
      <c r="J11" s="57">
        <f>I11*(1+0.2500)</f>
        <v/>
      </c>
      <c r="K11" s="57">
        <f>J11*(1+0.2000)</f>
        <v/>
      </c>
      <c r="L11" s="57">
        <f>K11*(1+0.1500)</f>
        <v/>
      </c>
    </row>
    <row r="12">
      <c r="B12" s="8" t="inlineStr">
        <is>
          <t xml:space="preserve">  Underground Transport</t>
        </is>
      </c>
      <c r="C12" s="56" t="n">
        <v>20</v>
      </c>
      <c r="D12" s="56" t="n">
        <v>50</v>
      </c>
      <c r="E12" s="56" t="n">
        <v>100</v>
      </c>
      <c r="F12" s="56" t="n">
        <v>200</v>
      </c>
      <c r="G12" s="56" t="n">
        <v>300</v>
      </c>
      <c r="H12" s="57">
        <f>300</f>
        <v/>
      </c>
      <c r="I12" s="57">
        <f>H12*(1+0.1000)</f>
        <v/>
      </c>
      <c r="J12" s="57">
        <f>I12*(1+0.0800)</f>
        <v/>
      </c>
      <c r="K12" s="57">
        <f>J12*(1+0.0700)</f>
        <v/>
      </c>
      <c r="L12" s="57">
        <f>K12*(1+0.0600)</f>
        <v/>
      </c>
    </row>
    <row r="13">
      <c r="B13" s="49" t="inlineStr">
        <is>
          <t>总收入</t>
        </is>
      </c>
      <c r="C13" s="59">
        <f>C4+C5+C6+C7+C8+C9+C10+C11+C12</f>
        <v/>
      </c>
      <c r="D13" s="59">
        <f>D4+D5+D6+D7+D8+D9+D10+D11+D12</f>
        <v/>
      </c>
      <c r="E13" s="59">
        <f>E4+E5+E6+E7+E8+E9+E10+E11+E12</f>
        <v/>
      </c>
      <c r="F13" s="59">
        <f>F4+F5+F6+F7+F8+F9+F10+F11+F12</f>
        <v/>
      </c>
      <c r="G13" s="59">
        <f>G4+G5+G6+G7+G8+G9+G10+G11+G12</f>
        <v/>
      </c>
      <c r="H13" s="59">
        <f>H4+H5+H6+H7+H8+H9+H10+H11+H12</f>
        <v/>
      </c>
      <c r="I13" s="59">
        <f>I4+I5+I6+I7+I8+I9+I10+I11+I12</f>
        <v/>
      </c>
      <c r="J13" s="59">
        <f>J4+J5+J6+J7+J8+J9+J10+J11+J12</f>
        <v/>
      </c>
      <c r="K13" s="59">
        <f>K4+K5+K6+K7+K8+K9+K10+K11+K12</f>
        <v/>
      </c>
      <c r="L13" s="59">
        <f>L4+L5+L6+L7+L8+L9+L10+L11+L12</f>
        <v/>
      </c>
    </row>
    <row r="14">
      <c r="B14" s="9" t="inlineStr">
        <is>
          <t>营收同比增速</t>
        </is>
      </c>
      <c r="C14" s="60" t="n"/>
      <c r="D14" s="60">
        <f>IF(C13=0,0,(D13-C13)/C13)</f>
        <v/>
      </c>
      <c r="E14" s="60">
        <f>IF(D13=0,0,(E13-D13)/D13)</f>
        <v/>
      </c>
      <c r="F14" s="60">
        <f>IF(E13=0,0,(F13-E13)/E13)</f>
        <v/>
      </c>
      <c r="G14" s="60">
        <f>IF(F13=0,0,(G13-F13)/F13)</f>
        <v/>
      </c>
      <c r="H14" s="60">
        <f>IF(G13=0,0,(H13-G13)/G13)</f>
        <v/>
      </c>
      <c r="I14" s="60">
        <f>IF(H13=0,0,(I13-H13)/H13)</f>
        <v/>
      </c>
      <c r="J14" s="60">
        <f>IF(I13=0,0,(J13-I13)/I13)</f>
        <v/>
      </c>
      <c r="K14" s="60">
        <f>IF(J13=0,0,(K13-J13)/J13)</f>
        <v/>
      </c>
      <c r="L14" s="60">
        <f>IF(K13=0,0,(L13-K13)/K13)</f>
        <v/>
      </c>
    </row>
    <row r="15">
      <c r="B15" s="45" t="inlineStr">
        <is>
          <t>Profitability</t>
        </is>
      </c>
      <c r="C15" s="46" t="n"/>
      <c r="D15" s="46" t="n"/>
      <c r="E15" s="46" t="n"/>
      <c r="F15" s="46" t="n"/>
      <c r="G15" s="46" t="n"/>
      <c r="H15" s="46" t="n"/>
      <c r="I15" s="46" t="n"/>
      <c r="J15" s="46" t="n"/>
      <c r="K15" s="46" t="n"/>
      <c r="L15" s="46" t="n"/>
    </row>
    <row r="16">
      <c r="B16" s="61" t="inlineStr">
        <is>
          <t>EBITDA利润率</t>
        </is>
      </c>
      <c r="C16" s="62" t="n">
        <v>0.1</v>
      </c>
      <c r="D16" s="62" t="n">
        <v>0.13</v>
      </c>
      <c r="E16" s="62" t="n">
        <v>0.15</v>
      </c>
      <c r="F16" s="62" t="n">
        <v>0.1602564102564103</v>
      </c>
      <c r="G16" s="62" t="n">
        <v>0.18</v>
      </c>
      <c r="H16" s="47" t="n">
        <v>0.22</v>
      </c>
      <c r="I16" s="47" t="n">
        <v>0.24</v>
      </c>
      <c r="J16" s="47" t="n">
        <v>0.25</v>
      </c>
      <c r="K16" s="47" t="n">
        <v>0.26</v>
      </c>
      <c r="L16" s="47" t="n">
        <v>0.27</v>
      </c>
    </row>
    <row r="17">
      <c r="B17" s="27" t="inlineStr">
        <is>
          <t>EBITDA</t>
        </is>
      </c>
      <c r="C17" s="63" t="n">
        <v>530</v>
      </c>
      <c r="D17" s="63" t="n">
        <v>1014</v>
      </c>
      <c r="E17" s="63" t="n">
        <v>1680</v>
      </c>
      <c r="F17" s="63" t="n">
        <v>2500</v>
      </c>
      <c r="G17" s="63" t="n">
        <v>3600</v>
      </c>
      <c r="H17" s="57">
        <f>H13*H16</f>
        <v/>
      </c>
      <c r="I17" s="57">
        <f>I13*I16</f>
        <v/>
      </c>
      <c r="J17" s="57">
        <f>J13*J16</f>
        <v/>
      </c>
      <c r="K17" s="57">
        <f>K13*K16</f>
        <v/>
      </c>
      <c r="L17" s="57">
        <f>L13*L16</f>
        <v/>
      </c>
    </row>
    <row r="18">
      <c r="B18" s="27" t="inlineStr">
        <is>
          <t>折旧与摊销</t>
        </is>
      </c>
      <c r="C18" s="57">
        <f>C13*0.0350</f>
        <v/>
      </c>
      <c r="D18" s="57">
        <f>D13*0.0350</f>
        <v/>
      </c>
      <c r="E18" s="57">
        <f>E13*0.0350</f>
        <v/>
      </c>
      <c r="F18" s="57">
        <f>F13*0.0350</f>
        <v/>
      </c>
      <c r="G18" s="57">
        <f>G13*0.0350</f>
        <v/>
      </c>
      <c r="H18" s="57">
        <f>H13*0.0350</f>
        <v/>
      </c>
      <c r="I18" s="57">
        <f>I13*0.0350</f>
        <v/>
      </c>
      <c r="J18" s="57">
        <f>J13*0.0350</f>
        <v/>
      </c>
      <c r="K18" s="57">
        <f>K13*0.0350</f>
        <v/>
      </c>
      <c r="L18" s="57">
        <f>L13*0.0350</f>
        <v/>
      </c>
    </row>
    <row r="19">
      <c r="B19" s="27" t="inlineStr">
        <is>
          <t>EBIT</t>
        </is>
      </c>
      <c r="C19" s="57">
        <f>C17-C18</f>
        <v/>
      </c>
      <c r="D19" s="57">
        <f>D17-D18</f>
        <v/>
      </c>
      <c r="E19" s="57">
        <f>E17-E18</f>
        <v/>
      </c>
      <c r="F19" s="57">
        <f>F17-F18</f>
        <v/>
      </c>
      <c r="G19" s="57">
        <f>G17-G18</f>
        <v/>
      </c>
      <c r="H19" s="57">
        <f>H17-H18</f>
        <v/>
      </c>
      <c r="I19" s="57">
        <f>I17-I18</f>
        <v/>
      </c>
      <c r="J19" s="57">
        <f>J17-J18</f>
        <v/>
      </c>
      <c r="K19" s="57">
        <f>K17-K18</f>
        <v/>
      </c>
      <c r="L19" s="57">
        <f>L17-L18</f>
        <v/>
      </c>
    </row>
    <row r="20">
      <c r="B20" s="27" t="inlineStr">
        <is>
          <t>NOPAT</t>
        </is>
      </c>
      <c r="C20" s="57">
        <f>C19*(1-0.2100)</f>
        <v/>
      </c>
      <c r="D20" s="57">
        <f>D19*(1-0.2100)</f>
        <v/>
      </c>
      <c r="E20" s="57">
        <f>E19*(1-0.2100)</f>
        <v/>
      </c>
      <c r="F20" s="57">
        <f>F19*(1-0.2100)</f>
        <v/>
      </c>
      <c r="G20" s="57">
        <f>G19*(1-0.2100)</f>
        <v/>
      </c>
      <c r="H20" s="57">
        <f>H19*(1-0.2100)</f>
        <v/>
      </c>
      <c r="I20" s="57">
        <f>I19*(1-0.2100)</f>
        <v/>
      </c>
      <c r="J20" s="57">
        <f>J19*(1-0.2100)</f>
        <v/>
      </c>
      <c r="K20" s="57">
        <f>K19*(1-0.2100)</f>
        <v/>
      </c>
      <c r="L20" s="57">
        <f>L19*(1-0.2100)</f>
        <v/>
      </c>
    </row>
    <row r="21">
      <c r="B21" s="45" t="inlineStr">
        <is>
          <t>自由现金流(UFCF)</t>
        </is>
      </c>
      <c r="C21" s="46" t="n"/>
      <c r="D21" s="46" t="n"/>
      <c r="E21" s="46" t="n"/>
      <c r="F21" s="46" t="n"/>
      <c r="G21" s="46" t="n"/>
      <c r="H21" s="46" t="n"/>
      <c r="I21" s="46" t="n"/>
      <c r="J21" s="46" t="n"/>
      <c r="K21" s="46" t="n"/>
      <c r="L21" s="46" t="n"/>
    </row>
    <row r="22">
      <c r="B22" s="64" t="inlineStr">
        <is>
          <t>资本支出</t>
        </is>
      </c>
      <c r="C22" s="65">
        <f>C13*0.0550</f>
        <v/>
      </c>
      <c r="D22" s="65">
        <f>D13*0.0550</f>
        <v/>
      </c>
      <c r="E22" s="65">
        <f>E13*0.0550</f>
        <v/>
      </c>
      <c r="F22" s="65">
        <f>F13*0.0550</f>
        <v/>
      </c>
      <c r="G22" s="65">
        <f>G13*0.0550</f>
        <v/>
      </c>
      <c r="H22" s="65">
        <f>H13*0.0550</f>
        <v/>
      </c>
      <c r="I22" s="65">
        <f>I13*0.0550</f>
        <v/>
      </c>
      <c r="J22" s="65">
        <f>J13*0.0550</f>
        <v/>
      </c>
      <c r="K22" s="65">
        <f>K13*0.0550</f>
        <v/>
      </c>
      <c r="L22" s="65">
        <f>L13*0.0550</f>
        <v/>
      </c>
    </row>
    <row r="23">
      <c r="B23" s="64" t="inlineStr">
        <is>
          <t>营运资金变动</t>
        </is>
      </c>
      <c r="C23" s="65">
        <f>C13*0.0400</f>
        <v/>
      </c>
      <c r="D23" s="65">
        <f>(D13-C13)*0.0800</f>
        <v/>
      </c>
      <c r="E23" s="65">
        <f>(E13-D13)*0.0800</f>
        <v/>
      </c>
      <c r="F23" s="65">
        <f>(F13-E13)*0.0800</f>
        <v/>
      </c>
      <c r="G23" s="65">
        <f>(G13-F13)*0.0800</f>
        <v/>
      </c>
      <c r="H23" s="65">
        <f>(H13-G13)*0.0800</f>
        <v/>
      </c>
      <c r="I23" s="65">
        <f>(I13-H13)*0.0800</f>
        <v/>
      </c>
      <c r="J23" s="65">
        <f>(J13-I13)*0.0800</f>
        <v/>
      </c>
      <c r="K23" s="65">
        <f>(K13-J13)*0.0800</f>
        <v/>
      </c>
      <c r="L23" s="65">
        <f>(L13-K13)*0.0800</f>
        <v/>
      </c>
    </row>
    <row r="24">
      <c r="B24" s="66" t="inlineStr">
        <is>
          <t>自由现金流(UFCF)</t>
        </is>
      </c>
      <c r="C24" s="67">
        <f>C20+C18-C22-C23</f>
        <v/>
      </c>
      <c r="D24" s="67">
        <f>D20+D18-D22-D23</f>
        <v/>
      </c>
      <c r="E24" s="67">
        <f>E20+E18-E22-E23</f>
        <v/>
      </c>
      <c r="F24" s="67">
        <f>F20+F18-F22-F23</f>
        <v/>
      </c>
      <c r="G24" s="67">
        <f>G20+G18-G22-G23</f>
        <v/>
      </c>
      <c r="H24" s="67">
        <f>H20+H18-H22-H23</f>
        <v/>
      </c>
      <c r="I24" s="67">
        <f>I20+I18-I22-I23</f>
        <v/>
      </c>
      <c r="J24" s="67">
        <f>J20+J18-J22-J23</f>
        <v/>
      </c>
      <c r="K24" s="67">
        <f>K20+K18-K22-K23</f>
        <v/>
      </c>
      <c r="L24" s="67">
        <f>L20+L18-L22-L23</f>
        <v/>
      </c>
    </row>
    <row r="25">
      <c r="B25" s="45" t="inlineStr">
        <is>
          <t>终值</t>
        </is>
      </c>
      <c r="C25" s="46" t="n"/>
      <c r="D25" s="46" t="n"/>
      <c r="E25" s="46" t="n"/>
      <c r="F25" s="46" t="n"/>
      <c r="G25" s="46" t="n"/>
      <c r="H25" s="46" t="n"/>
      <c r="I25" s="46" t="n"/>
      <c r="J25" s="46" t="n"/>
      <c r="K25" s="46" t="n"/>
      <c r="L25" s="46" t="n"/>
    </row>
    <row r="26">
      <c r="B26" s="9" t="inlineStr">
        <is>
          <t>折现期</t>
        </is>
      </c>
      <c r="C26" s="33" t="n"/>
      <c r="D26" s="33" t="n"/>
      <c r="E26" s="33" t="n"/>
      <c r="F26" s="33" t="n"/>
      <c r="G26" s="33" t="n"/>
      <c r="H26" s="33" t="n">
        <v>0</v>
      </c>
      <c r="I26" s="33" t="n">
        <v>1</v>
      </c>
      <c r="J26" s="33" t="n">
        <v>2</v>
      </c>
      <c r="K26" s="33" t="n">
        <v>3</v>
      </c>
      <c r="L26" s="33" t="n">
        <v>4</v>
      </c>
    </row>
    <row r="27">
      <c r="B27" s="27" t="inlineStr">
        <is>
          <t>FCF现值</t>
        </is>
      </c>
      <c r="C27" s="57" t="n"/>
      <c r="D27" s="57" t="n"/>
      <c r="E27" s="57" t="n"/>
      <c r="F27" s="57" t="n"/>
      <c r="G27" s="57" t="n"/>
      <c r="H27" s="57">
        <f>H24/(1+0.122616)^1</f>
        <v/>
      </c>
      <c r="I27" s="57">
        <f>I24/(1+0.122616)^2</f>
        <v/>
      </c>
      <c r="J27" s="57">
        <f>J24/(1+0.122616)^3</f>
        <v/>
      </c>
      <c r="K27" s="57">
        <f>K24/(1+0.122616)^4</f>
        <v/>
      </c>
      <c r="L27" s="57">
        <f>L24/(1+0.122616)^5</f>
        <v/>
      </c>
    </row>
    <row r="28">
      <c r="B28" s="46" t="inlineStr"/>
      <c r="C28" s="46" t="n"/>
      <c r="D28" s="46" t="n"/>
      <c r="E28" s="46" t="n"/>
      <c r="F28" s="46" t="n"/>
      <c r="G28" s="46" t="n"/>
      <c r="H28" s="46" t="n"/>
      <c r="I28" s="46" t="n"/>
      <c r="J28" s="46" t="n"/>
      <c r="K28" s="46" t="n"/>
      <c r="L28" s="46" t="n"/>
    </row>
    <row r="29">
      <c r="B29" s="45" t="inlineStr">
        <is>
          <t>关键输入参数</t>
        </is>
      </c>
      <c r="C29" s="46" t="n"/>
      <c r="D29" s="46" t="n"/>
      <c r="E29" s="46" t="n"/>
      <c r="F29" s="46" t="n"/>
      <c r="G29" s="46" t="n"/>
      <c r="H29" s="46" t="n"/>
      <c r="I29" s="46" t="n"/>
      <c r="J29" s="46" t="n"/>
      <c r="K29" s="46" t="n"/>
      <c r="L29" s="46" t="n"/>
    </row>
    <row r="30">
      <c r="B30" s="27" t="inlineStr">
        <is>
          <t>FCF现值合计</t>
        </is>
      </c>
      <c r="C30" s="57">
        <f>SUM(C27:L27)</f>
        <v/>
      </c>
      <c r="D30" s="46" t="n"/>
      <c r="E30" s="46" t="n"/>
      <c r="F30" s="46" t="n"/>
      <c r="G30" s="46" t="n"/>
      <c r="H30" s="46" t="n"/>
      <c r="I30" s="46" t="n"/>
      <c r="J30" s="46" t="n"/>
      <c r="K30" s="46" t="n"/>
      <c r="L30" s="46" t="n"/>
    </row>
    <row r="31">
      <c r="B31" s="61" t="inlineStr">
        <is>
          <t>终值增长率</t>
        </is>
      </c>
      <c r="C31" s="47" t="n">
        <v>0.03</v>
      </c>
      <c r="D31" s="46" t="n"/>
      <c r="E31" s="46" t="n"/>
      <c r="F31" s="46" t="n"/>
      <c r="G31" s="46" t="n"/>
      <c r="H31" s="46" t="n"/>
      <c r="I31" s="46" t="n"/>
      <c r="J31" s="46" t="n"/>
      <c r="K31" s="46" t="n"/>
      <c r="L31" s="46" t="n"/>
    </row>
    <row r="32">
      <c r="B32" s="61" t="inlineStr">
        <is>
          <t>退出倍数</t>
        </is>
      </c>
      <c r="C32" s="68" t="n">
        <v>12</v>
      </c>
      <c r="D32" s="46" t="n"/>
      <c r="E32" s="46" t="n"/>
      <c r="F32" s="46" t="n"/>
      <c r="G32" s="46" t="n"/>
      <c r="H32" s="46" t="n"/>
      <c r="I32" s="46" t="n"/>
      <c r="J32" s="46" t="n"/>
      <c r="K32" s="46" t="n"/>
      <c r="L32" s="46" t="n"/>
    </row>
    <row r="33">
      <c r="B33" s="61" t="inlineStr">
        <is>
          <t>流通股本</t>
        </is>
      </c>
      <c r="C33" s="69" t="n">
        <v>1000</v>
      </c>
      <c r="D33" s="46" t="n"/>
      <c r="E33" s="46" t="n"/>
      <c r="F33" s="46" t="n"/>
      <c r="G33" s="46" t="n"/>
      <c r="H33" s="46" t="n"/>
      <c r="I33" s="46" t="n"/>
      <c r="J33" s="46" t="n"/>
      <c r="K33" s="46" t="n"/>
      <c r="L33" s="46" t="n"/>
    </row>
    <row r="34">
      <c r="B34" s="61" t="inlineStr">
        <is>
          <t>净债务</t>
        </is>
      </c>
      <c r="C34" s="70" t="n">
        <v>3000</v>
      </c>
      <c r="D34" s="46" t="n"/>
      <c r="E34" s="46" t="n"/>
      <c r="F34" s="46" t="n"/>
      <c r="G34" s="46" t="n"/>
      <c r="H34" s="46" t="n"/>
      <c r="I34" s="46" t="n"/>
      <c r="J34" s="46" t="n"/>
      <c r="K34" s="46" t="n"/>
      <c r="L34" s="46" t="n"/>
    </row>
    <row r="35">
      <c r="B35" s="61" t="inlineStr">
        <is>
          <t>WACC</t>
        </is>
      </c>
      <c r="C35" s="71">
        <f>'WACC拆解'!D20</f>
        <v/>
      </c>
      <c r="D35" s="72" t="inlineStr">
        <is>
          <t>WACC来源 → WACC拆解</t>
        </is>
      </c>
      <c r="E35" s="46" t="n"/>
      <c r="F35" s="46" t="n"/>
      <c r="G35" s="46" t="n"/>
      <c r="H35" s="46" t="n"/>
      <c r="I35" s="46" t="n"/>
      <c r="J35" s="46" t="n"/>
      <c r="K35" s="46" t="n"/>
      <c r="L35" s="46" t="n"/>
    </row>
    <row r="36">
      <c r="B36" s="46" t="inlineStr"/>
      <c r="C36" s="46" t="n"/>
      <c r="D36" s="46" t="n"/>
      <c r="E36" s="46" t="n"/>
      <c r="F36" s="46" t="n"/>
      <c r="G36" s="46" t="n"/>
      <c r="H36" s="46" t="n"/>
      <c r="I36" s="46" t="n"/>
      <c r="J36" s="46" t="n"/>
      <c r="K36" s="46" t="n"/>
      <c r="L36" s="46" t="n"/>
    </row>
    <row r="37">
      <c r="B37" s="45" t="inlineStr">
        <is>
          <t>终值</t>
        </is>
      </c>
      <c r="C37" s="46" t="n"/>
      <c r="D37" s="46" t="n"/>
      <c r="E37" s="46" t="n"/>
      <c r="F37" s="46" t="n"/>
      <c r="G37" s="46" t="n"/>
      <c r="H37" s="46" t="n"/>
      <c r="I37" s="46" t="n"/>
      <c r="J37" s="46" t="n"/>
      <c r="K37" s="46" t="n"/>
      <c r="L37" s="46" t="n"/>
    </row>
    <row r="38">
      <c r="B38" s="27" t="inlineStr">
        <is>
          <t>GGM终值</t>
        </is>
      </c>
      <c r="C38" s="57">
        <f>L24*(1+C31)/(C35-C31)</f>
        <v/>
      </c>
      <c r="D38" s="46" t="n"/>
      <c r="E38" s="46" t="n"/>
      <c r="F38" s="46" t="n"/>
      <c r="G38" s="46" t="n"/>
      <c r="H38" s="46" t="n"/>
      <c r="I38" s="46" t="n"/>
      <c r="J38" s="46" t="n"/>
      <c r="K38" s="46" t="n"/>
      <c r="L38" s="46" t="n"/>
    </row>
    <row r="39">
      <c r="B39" s="27" t="inlineStr">
        <is>
          <t>退出倍数终值</t>
        </is>
      </c>
      <c r="C39" s="57">
        <f>L17*C32</f>
        <v/>
      </c>
      <c r="D39" s="46" t="n"/>
      <c r="E39" s="46" t="n"/>
      <c r="F39" s="46" t="n"/>
      <c r="G39" s="46" t="n"/>
      <c r="H39" s="46" t="n"/>
      <c r="I39" s="46" t="n"/>
      <c r="J39" s="46" t="n"/>
      <c r="K39" s="46" t="n"/>
      <c r="L39" s="46" t="n"/>
    </row>
    <row r="40">
      <c r="B40" s="49" t="inlineStr">
        <is>
          <t>平均终值</t>
        </is>
      </c>
      <c r="C40" s="59">
        <f>(C38+C39)/2</f>
        <v/>
      </c>
      <c r="D40" s="46" t="n"/>
      <c r="E40" s="46" t="n"/>
      <c r="F40" s="46" t="n"/>
      <c r="G40" s="46" t="n"/>
      <c r="H40" s="46" t="n"/>
      <c r="I40" s="46" t="n"/>
      <c r="J40" s="46" t="n"/>
      <c r="K40" s="46" t="n"/>
      <c r="L40" s="46" t="n"/>
    </row>
    <row r="41">
      <c r="B41" s="27" t="inlineStr">
        <is>
          <t>终值现值</t>
        </is>
      </c>
      <c r="C41" s="57">
        <f>C40/(1+C35)^5</f>
        <v/>
      </c>
      <c r="D41" s="46" t="n"/>
      <c r="E41" s="46" t="n"/>
      <c r="F41" s="46" t="n"/>
      <c r="G41" s="46" t="n"/>
      <c r="H41" s="46" t="n"/>
      <c r="I41" s="46" t="n"/>
      <c r="J41" s="46" t="n"/>
      <c r="K41" s="46" t="n"/>
      <c r="L41" s="46" t="n"/>
    </row>
    <row r="42">
      <c r="B42" s="46" t="inlineStr"/>
      <c r="C42" s="46" t="n"/>
      <c r="D42" s="46" t="n"/>
      <c r="E42" s="46" t="n"/>
      <c r="F42" s="46" t="n"/>
      <c r="G42" s="46" t="n"/>
      <c r="H42" s="46" t="n"/>
      <c r="I42" s="46" t="n"/>
      <c r="J42" s="46" t="n"/>
      <c r="K42" s="46" t="n"/>
      <c r="L42" s="46" t="n"/>
    </row>
    <row r="43">
      <c r="B43" s="73" t="inlineStr">
        <is>
          <t>企业价值</t>
        </is>
      </c>
      <c r="C43" s="74">
        <f>C30+C41</f>
        <v/>
      </c>
      <c r="D43" s="46" t="n"/>
      <c r="E43" s="46" t="n"/>
      <c r="F43" s="46" t="n"/>
      <c r="G43" s="46" t="n"/>
      <c r="H43" s="46" t="n"/>
      <c r="I43" s="46" t="n"/>
      <c r="J43" s="46" t="n"/>
      <c r="K43" s="46" t="n"/>
      <c r="L43" s="46" t="n"/>
    </row>
    <row r="44">
      <c r="B44" s="73" t="inlineStr">
        <is>
          <t>股权价值</t>
        </is>
      </c>
      <c r="C44" s="74">
        <f>C43-C34</f>
        <v/>
      </c>
      <c r="D44" s="46" t="n"/>
      <c r="E44" s="46" t="n"/>
      <c r="F44" s="46" t="n"/>
      <c r="G44" s="46" t="n"/>
      <c r="H44" s="46" t="n"/>
      <c r="I44" s="46" t="n"/>
      <c r="J44" s="46" t="n"/>
      <c r="K44" s="46" t="n"/>
      <c r="L44" s="46" t="n"/>
    </row>
    <row r="45">
      <c r="B45" s="53" t="inlineStr">
        <is>
          <t>每股价值</t>
        </is>
      </c>
      <c r="C45" s="75">
        <f>C44/C33</f>
        <v/>
      </c>
      <c r="D45" s="46" t="n"/>
      <c r="E45" s="46" t="n"/>
      <c r="F45" s="46" t="n"/>
      <c r="G45" s="46" t="n"/>
      <c r="H45" s="46" t="n"/>
      <c r="I45" s="46" t="n"/>
      <c r="J45" s="46" t="n"/>
      <c r="K45" s="46" t="n"/>
      <c r="L45" s="46" t="n"/>
    </row>
    <row r="46">
      <c r="B46" s="27" t="inlineStr">
        <is>
          <t>隐含EV/Revenue</t>
        </is>
      </c>
      <c r="C46" s="76">
        <f>IF(L13=0,0,C43/L13)</f>
        <v/>
      </c>
      <c r="D46" s="46" t="n"/>
      <c r="E46" s="46" t="n"/>
      <c r="F46" s="46" t="n"/>
      <c r="G46" s="46" t="n"/>
      <c r="H46" s="46" t="n"/>
      <c r="I46" s="46" t="n"/>
      <c r="J46" s="46" t="n"/>
      <c r="K46" s="46" t="n"/>
      <c r="L46" s="46" t="n"/>
    </row>
    <row r="47">
      <c r="B47" s="27" t="inlineStr">
        <is>
          <t>隐含EV/EBITDA</t>
        </is>
      </c>
      <c r="C47" s="76">
        <f>IF(L17=0,0,C43/L17)</f>
        <v/>
      </c>
      <c r="D47" s="46" t="n"/>
      <c r="E47" s="46" t="n"/>
      <c r="F47" s="46" t="n"/>
      <c r="G47" s="46" t="n"/>
      <c r="H47" s="46" t="n"/>
      <c r="I47" s="46" t="n"/>
      <c r="J47" s="46" t="n"/>
      <c r="K47" s="46" t="n"/>
      <c r="L47" s="46" t="n"/>
    </row>
    <row r="48">
      <c r="B48" s="27" t="inlineStr">
        <is>
          <t>收入CAGR</t>
        </is>
      </c>
      <c r="C48" s="52">
        <f>(L13/H13)^(1/5)-1</f>
        <v/>
      </c>
      <c r="D48" s="46" t="n"/>
      <c r="E48" s="46" t="n"/>
      <c r="F48" s="46" t="n"/>
      <c r="G48" s="46" t="n"/>
      <c r="H48" s="46" t="n"/>
      <c r="I48" s="46" t="n"/>
      <c r="J48" s="46" t="n"/>
      <c r="K48" s="46" t="n"/>
      <c r="L48" s="46" t="n"/>
    </row>
    <row r="59">
      <c r="AB59" t="inlineStr">
        <is>
          <t>FY21A</t>
        </is>
      </c>
      <c r="AC59" t="inlineStr">
        <is>
          <t>FY22A</t>
        </is>
      </c>
      <c r="AD59" t="inlineStr">
        <is>
          <t>FY23A</t>
        </is>
      </c>
      <c r="AE59" t="inlineStr">
        <is>
          <t>FY24A</t>
        </is>
      </c>
      <c r="AF59" t="inlineStr">
        <is>
          <t>FY25A</t>
        </is>
      </c>
      <c r="AG59" t="inlineStr">
        <is>
          <t>FY26E</t>
        </is>
      </c>
      <c r="AH59" t="inlineStr">
        <is>
          <t>FY27E</t>
        </is>
      </c>
      <c r="AI59" t="inlineStr">
        <is>
          <t>FY28E</t>
        </is>
      </c>
      <c r="AJ59" t="inlineStr">
        <is>
          <t>FY29E</t>
        </is>
      </c>
      <c r="AK59" t="inlineStr">
        <is>
          <t>FY30E</t>
        </is>
      </c>
    </row>
    <row r="60">
      <c r="AA60" t="inlineStr">
        <is>
          <t>Gross Margin (helper)</t>
        </is>
      </c>
      <c r="AB60" s="78">
        <f>IF(C13=0,0,C19/C13)</f>
        <v/>
      </c>
      <c r="AC60" s="78">
        <f>IF(D13=0,0,D19/D13)</f>
        <v/>
      </c>
      <c r="AD60" s="78">
        <f>IF(E13=0,0,E19/E13)</f>
        <v/>
      </c>
      <c r="AE60" s="78">
        <f>IF(F13=0,0,F19/F13)</f>
        <v/>
      </c>
      <c r="AF60" s="78">
        <f>IF(G13=0,0,G19/G13)</f>
        <v/>
      </c>
      <c r="AG60" s="78">
        <f>IF(H13=0,0,H19/H13)</f>
        <v/>
      </c>
      <c r="AH60" s="78">
        <f>IF(I13=0,0,I19/I13)</f>
        <v/>
      </c>
      <c r="AI60" s="78">
        <f>IF(J13=0,0,J19/J13)</f>
        <v/>
      </c>
      <c r="AJ60" s="78">
        <f>IF(K13=0,0,K19/K13)</f>
        <v/>
      </c>
      <c r="AK60" s="78">
        <f>IF(L13=0,0,L19/L13)</f>
        <v/>
      </c>
    </row>
    <row r="61">
      <c r="AA61" t="inlineStr">
        <is>
          <t>Net Margin (helper)</t>
        </is>
      </c>
      <c r="AB61" s="78">
        <f>IF(C13=0,0,C20/C13)</f>
        <v/>
      </c>
      <c r="AC61" s="78">
        <f>IF(D13=0,0,D20/D13)</f>
        <v/>
      </c>
      <c r="AD61" s="78">
        <f>IF(E13=0,0,E20/E13)</f>
        <v/>
      </c>
      <c r="AE61" s="78">
        <f>IF(F13=0,0,F20/F13)</f>
        <v/>
      </c>
      <c r="AF61" s="78">
        <f>IF(G13=0,0,G20/G13)</f>
        <v/>
      </c>
      <c r="AG61" s="78">
        <f>IF(H13=0,0,H20/H13)</f>
        <v/>
      </c>
      <c r="AH61" s="78">
        <f>IF(I13=0,0,I20/I13)</f>
        <v/>
      </c>
      <c r="AI61" s="78">
        <f>IF(J13=0,0,J20/J13)</f>
        <v/>
      </c>
      <c r="AJ61" s="78">
        <f>IF(K13=0,0,K20/K13)</f>
        <v/>
      </c>
      <c r="AK61" s="78">
        <f>IF(L13=0,0,L20/L13)</f>
        <v/>
      </c>
    </row>
    <row r="62">
      <c r="AA62" t="inlineStr">
        <is>
          <t>EBITDA Margin (helper)</t>
        </is>
      </c>
      <c r="AB62" s="78">
        <f>IF(C13=0,0,C17/C13)</f>
        <v/>
      </c>
      <c r="AC62" s="78">
        <f>IF(D13=0,0,D17/D13)</f>
        <v/>
      </c>
      <c r="AD62" s="78">
        <f>IF(E13=0,0,E17/E13)</f>
        <v/>
      </c>
      <c r="AE62" s="78">
        <f>IF(F13=0,0,F17/F13)</f>
        <v/>
      </c>
      <c r="AF62" s="78">
        <f>IF(G13=0,0,G17/G13)</f>
        <v/>
      </c>
      <c r="AG62" s="78">
        <f>IF(H13=0,0,H17/H13)</f>
        <v/>
      </c>
      <c r="AH62" s="78">
        <f>IF(I13=0,0,I17/I13)</f>
        <v/>
      </c>
      <c r="AI62" s="78">
        <f>IF(J13=0,0,J17/J13)</f>
        <v/>
      </c>
      <c r="AJ62" s="78">
        <f>IF(K13=0,0,K17/K13)</f>
        <v/>
      </c>
      <c r="AK62" s="78">
        <f>IF(L13=0,0,L17/L13)</f>
        <v/>
      </c>
    </row>
  </sheetData>
  <pageMargins left="0.75" right="0.75" top="1" bottom="1" header="0.5" footer="0.5"/>
  <pageSetup orientation="landscape" fitToHeight="0" fitToWidth="1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tabColor rgb="001F3864"/>
    <outlinePr summaryBelow="1" summaryRight="1"/>
    <pageSetUpPr/>
  </sheetPr>
  <dimension ref="B1:L48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2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>
      <c r="B1" s="30" t="inlineStr">
        <is>
          <t>牛市情景</t>
        </is>
      </c>
    </row>
    <row r="2">
      <c r="B2" s="44" t="inlineStr"/>
      <c r="C2" s="44" t="inlineStr">
        <is>
          <t>FY21A</t>
        </is>
      </c>
      <c r="D2" s="44" t="inlineStr">
        <is>
          <t>FY22A</t>
        </is>
      </c>
      <c r="E2" s="44" t="inlineStr">
        <is>
          <t>FY23A</t>
        </is>
      </c>
      <c r="F2" s="44" t="inlineStr">
        <is>
          <t>FY24A</t>
        </is>
      </c>
      <c r="G2" s="44" t="inlineStr">
        <is>
          <t>FY25A</t>
        </is>
      </c>
      <c r="H2" s="44" t="inlineStr">
        <is>
          <t>FY26E</t>
        </is>
      </c>
      <c r="I2" s="44" t="inlineStr">
        <is>
          <t>FY27E</t>
        </is>
      </c>
      <c r="J2" s="44" t="inlineStr">
        <is>
          <t>FY28E</t>
        </is>
      </c>
      <c r="K2" s="44" t="inlineStr">
        <is>
          <t>FY29E</t>
        </is>
      </c>
      <c r="L2" s="44" t="inlineStr">
        <is>
          <t>FY30E</t>
        </is>
      </c>
    </row>
    <row r="3">
      <c r="B3" s="45" t="inlineStr">
        <is>
          <t>总收入</t>
        </is>
      </c>
      <c r="C3" s="46" t="n"/>
      <c r="D3" s="46" t="n"/>
      <c r="E3" s="46" t="n"/>
      <c r="F3" s="46" t="n"/>
      <c r="G3" s="46" t="n"/>
      <c r="H3" s="46" t="n"/>
      <c r="I3" s="46" t="n"/>
      <c r="J3" s="46" t="n"/>
      <c r="K3" s="46" t="n"/>
      <c r="L3" s="46" t="n"/>
    </row>
    <row r="4">
      <c r="B4" s="8" t="inlineStr">
        <is>
          <t xml:space="preserve">  Autonomy &amp; AI</t>
        </is>
      </c>
      <c r="C4" s="56" t="n">
        <v>800</v>
      </c>
      <c r="D4" s="56" t="n">
        <v>1400</v>
      </c>
      <c r="E4" s="56" t="n">
        <v>2200</v>
      </c>
      <c r="F4" s="56" t="n">
        <v>3200</v>
      </c>
      <c r="G4" s="56" t="n">
        <v>4500</v>
      </c>
      <c r="H4" s="57">
        <f>4500</f>
        <v/>
      </c>
      <c r="I4" s="57">
        <f>H4*(1+0.2500)</f>
        <v/>
      </c>
      <c r="J4" s="57">
        <f>I4*(1+0.2000)</f>
        <v/>
      </c>
      <c r="K4" s="57">
        <f>J4*(1+0.1500)</f>
        <v/>
      </c>
      <c r="L4" s="57">
        <f>K4*(1+0.1200)</f>
        <v/>
      </c>
    </row>
    <row r="5">
      <c r="B5" s="11" t="inlineStr">
        <is>
          <t xml:space="preserve">  EV Manufacturing</t>
        </is>
      </c>
      <c r="C5" s="58" t="n">
        <v>2500</v>
      </c>
      <c r="D5" s="58" t="n">
        <v>3200</v>
      </c>
      <c r="E5" s="58" t="n">
        <v>4000</v>
      </c>
      <c r="F5" s="58" t="n">
        <v>5000</v>
      </c>
      <c r="G5" s="58" t="n">
        <v>5800</v>
      </c>
      <c r="H5" s="57">
        <f>5800</f>
        <v/>
      </c>
      <c r="I5" s="57">
        <f>H5*(1+0.1500)</f>
        <v/>
      </c>
      <c r="J5" s="57">
        <f>I5*(1+0.1200)</f>
        <v/>
      </c>
      <c r="K5" s="57">
        <f>J5*(1+0.1000)</f>
        <v/>
      </c>
      <c r="L5" s="57">
        <f>K5*(1+0.0800)</f>
        <v/>
      </c>
    </row>
    <row r="6">
      <c r="B6" s="8" t="inlineStr">
        <is>
          <t xml:space="preserve">  Energy &amp; Storage</t>
        </is>
      </c>
      <c r="C6" s="56" t="n">
        <v>800</v>
      </c>
      <c r="D6" s="56" t="n">
        <v>1000</v>
      </c>
      <c r="E6" s="56" t="n">
        <v>1400</v>
      </c>
      <c r="F6" s="56" t="n">
        <v>1800</v>
      </c>
      <c r="G6" s="56" t="n">
        <v>2200</v>
      </c>
      <c r="H6" s="57">
        <f>2200</f>
        <v/>
      </c>
      <c r="I6" s="57">
        <f>H6*(1+0.1800)</f>
        <v/>
      </c>
      <c r="J6" s="57">
        <f>I6*(1+0.1500)</f>
        <v/>
      </c>
      <c r="K6" s="57">
        <f>J6*(1+0.1200)</f>
        <v/>
      </c>
      <c r="L6" s="57">
        <f>K6*(1+0.1000)</f>
        <v/>
      </c>
    </row>
    <row r="7">
      <c r="B7" s="11" t="inlineStr">
        <is>
          <t xml:space="preserve">  Financial Services</t>
        </is>
      </c>
      <c r="C7" s="58" t="n">
        <v>400</v>
      </c>
      <c r="D7" s="58" t="n">
        <v>500</v>
      </c>
      <c r="E7" s="58" t="n">
        <v>600</v>
      </c>
      <c r="F7" s="58" t="n">
        <v>800</v>
      </c>
      <c r="G7" s="58" t="n">
        <v>1000</v>
      </c>
      <c r="H7" s="57">
        <f>1000</f>
        <v/>
      </c>
      <c r="I7" s="57">
        <f>H7*(1+0.1500)</f>
        <v/>
      </c>
      <c r="J7" s="57">
        <f>I7*(1+0.1200)</f>
        <v/>
      </c>
      <c r="K7" s="57">
        <f>J7*(1+0.1000)</f>
        <v/>
      </c>
      <c r="L7" s="57">
        <f>K7*(1+0.0800)</f>
        <v/>
      </c>
    </row>
    <row r="8">
      <c r="B8" s="8" t="inlineStr">
        <is>
          <t xml:space="preserve">  Satellite Internet</t>
        </is>
      </c>
      <c r="C8" s="56" t="n">
        <v>200</v>
      </c>
      <c r="D8" s="56" t="n">
        <v>400</v>
      </c>
      <c r="E8" s="56" t="n">
        <v>800</v>
      </c>
      <c r="F8" s="56" t="n">
        <v>1400</v>
      </c>
      <c r="G8" s="56" t="n">
        <v>2000</v>
      </c>
      <c r="H8" s="57">
        <f>2000</f>
        <v/>
      </c>
      <c r="I8" s="57">
        <f>H8*(1+0.3000)</f>
        <v/>
      </c>
      <c r="J8" s="57">
        <f>I8*(1+0.2500)</f>
        <v/>
      </c>
      <c r="K8" s="57">
        <f>J8*(1+0.2000)</f>
        <v/>
      </c>
      <c r="L8" s="57">
        <f>K8*(1+0.1500)</f>
        <v/>
      </c>
    </row>
    <row r="9">
      <c r="B9" s="11" t="inlineStr">
        <is>
          <t xml:space="preserve">  Social Media</t>
        </is>
      </c>
      <c r="C9" s="58" t="n">
        <v>300</v>
      </c>
      <c r="D9" s="58" t="n">
        <v>500</v>
      </c>
      <c r="E9" s="58" t="n">
        <v>800</v>
      </c>
      <c r="F9" s="58" t="n">
        <v>1200</v>
      </c>
      <c r="G9" s="58" t="n">
        <v>1500</v>
      </c>
      <c r="H9" s="57">
        <f>1500</f>
        <v/>
      </c>
      <c r="I9" s="57">
        <f>H9*(1+0.1200)</f>
        <v/>
      </c>
      <c r="J9" s="57">
        <f>I9*(1+0.1000)</f>
        <v/>
      </c>
      <c r="K9" s="57">
        <f>J9*(1+0.0800)</f>
        <v/>
      </c>
      <c r="L9" s="57">
        <f>K9*(1+0.0700)</f>
        <v/>
      </c>
    </row>
    <row r="10">
      <c r="B10" s="8" t="inlineStr">
        <is>
          <t xml:space="preserve">  Robotics</t>
        </is>
      </c>
      <c r="C10" s="56" t="n">
        <v>50</v>
      </c>
      <c r="D10" s="56" t="n">
        <v>100</v>
      </c>
      <c r="E10" s="56" t="n">
        <v>200</v>
      </c>
      <c r="F10" s="56" t="n">
        <v>400</v>
      </c>
      <c r="G10" s="56" t="n">
        <v>700</v>
      </c>
      <c r="H10" s="57">
        <f>700</f>
        <v/>
      </c>
      <c r="I10" s="57">
        <f>H10*(1+0.4000)</f>
        <v/>
      </c>
      <c r="J10" s="57">
        <f>I10*(1+0.3000)</f>
        <v/>
      </c>
      <c r="K10" s="57">
        <f>J10*(1+0.2500)</f>
        <v/>
      </c>
      <c r="L10" s="57">
        <f>K10*(1+0.2000)</f>
        <v/>
      </c>
    </row>
    <row r="11">
      <c r="B11" s="11" t="inlineStr">
        <is>
          <t xml:space="preserve">  Neural Interface</t>
        </is>
      </c>
      <c r="C11" s="58" t="n">
        <v>30</v>
      </c>
      <c r="D11" s="58" t="n">
        <v>50</v>
      </c>
      <c r="E11" s="58" t="n">
        <v>100</v>
      </c>
      <c r="F11" s="58" t="n">
        <v>200</v>
      </c>
      <c r="G11" s="58" t="n">
        <v>400</v>
      </c>
      <c r="H11" s="57">
        <f>400</f>
        <v/>
      </c>
      <c r="I11" s="57">
        <f>H11*(1+0.5000)</f>
        <v/>
      </c>
      <c r="J11" s="57">
        <f>I11*(1+0.4000)</f>
        <v/>
      </c>
      <c r="K11" s="57">
        <f>J11*(1+0.3000)</f>
        <v/>
      </c>
      <c r="L11" s="57">
        <f>K11*(1+0.2500)</f>
        <v/>
      </c>
    </row>
    <row r="12">
      <c r="B12" s="8" t="inlineStr">
        <is>
          <t xml:space="preserve">  Underground Transport</t>
        </is>
      </c>
      <c r="C12" s="56" t="n">
        <v>20</v>
      </c>
      <c r="D12" s="56" t="n">
        <v>50</v>
      </c>
      <c r="E12" s="56" t="n">
        <v>100</v>
      </c>
      <c r="F12" s="56" t="n">
        <v>200</v>
      </c>
      <c r="G12" s="56" t="n">
        <v>300</v>
      </c>
      <c r="H12" s="57">
        <f>300</f>
        <v/>
      </c>
      <c r="I12" s="57">
        <f>H12*(1+0.1500)</f>
        <v/>
      </c>
      <c r="J12" s="57">
        <f>I12*(1+0.1200)</f>
        <v/>
      </c>
      <c r="K12" s="57">
        <f>J12*(1+0.1000)</f>
        <v/>
      </c>
      <c r="L12" s="57">
        <f>K12*(1+0.0800)</f>
        <v/>
      </c>
    </row>
    <row r="13">
      <c r="B13" s="49" t="inlineStr">
        <is>
          <t>总收入</t>
        </is>
      </c>
      <c r="C13" s="59">
        <f>C4+C5+C6+C7+C8+C9+C10+C11+C12</f>
        <v/>
      </c>
      <c r="D13" s="59">
        <f>D4+D5+D6+D7+D8+D9+D10+D11+D12</f>
        <v/>
      </c>
      <c r="E13" s="59">
        <f>E4+E5+E6+E7+E8+E9+E10+E11+E12</f>
        <v/>
      </c>
      <c r="F13" s="59">
        <f>F4+F5+F6+F7+F8+F9+F10+F11+F12</f>
        <v/>
      </c>
      <c r="G13" s="59">
        <f>G4+G5+G6+G7+G8+G9+G10+G11+G12</f>
        <v/>
      </c>
      <c r="H13" s="59">
        <f>H4+H5+H6+H7+H8+H9+H10+H11+H12</f>
        <v/>
      </c>
      <c r="I13" s="59">
        <f>I4+I5+I6+I7+I8+I9+I10+I11+I12</f>
        <v/>
      </c>
      <c r="J13" s="59">
        <f>J4+J5+J6+J7+J8+J9+J10+J11+J12</f>
        <v/>
      </c>
      <c r="K13" s="59">
        <f>K4+K5+K6+K7+K8+K9+K10+K11+K12</f>
        <v/>
      </c>
      <c r="L13" s="59">
        <f>L4+L5+L6+L7+L8+L9+L10+L11+L12</f>
        <v/>
      </c>
    </row>
    <row r="14">
      <c r="B14" s="9" t="inlineStr">
        <is>
          <t>营收同比增速</t>
        </is>
      </c>
      <c r="C14" s="60" t="n"/>
      <c r="D14" s="60">
        <f>IF(C13=0,0,(D13-C13)/C13)</f>
        <v/>
      </c>
      <c r="E14" s="60">
        <f>IF(D13=0,0,(E13-D13)/D13)</f>
        <v/>
      </c>
      <c r="F14" s="60">
        <f>IF(E13=0,0,(F13-E13)/E13)</f>
        <v/>
      </c>
      <c r="G14" s="60">
        <f>IF(F13=0,0,(G13-F13)/F13)</f>
        <v/>
      </c>
      <c r="H14" s="60">
        <f>IF(G13=0,0,(H13-G13)/G13)</f>
        <v/>
      </c>
      <c r="I14" s="60">
        <f>IF(H13=0,0,(I13-H13)/H13)</f>
        <v/>
      </c>
      <c r="J14" s="60">
        <f>IF(I13=0,0,(J13-I13)/I13)</f>
        <v/>
      </c>
      <c r="K14" s="60">
        <f>IF(J13=0,0,(K13-J13)/J13)</f>
        <v/>
      </c>
      <c r="L14" s="60">
        <f>IF(K13=0,0,(L13-K13)/K13)</f>
        <v/>
      </c>
    </row>
    <row r="15">
      <c r="B15" s="45" t="inlineStr">
        <is>
          <t>Profitability</t>
        </is>
      </c>
      <c r="C15" s="46" t="n"/>
      <c r="D15" s="46" t="n"/>
      <c r="E15" s="46" t="n"/>
      <c r="F15" s="46" t="n"/>
      <c r="G15" s="46" t="n"/>
      <c r="H15" s="46" t="n"/>
      <c r="I15" s="46" t="n"/>
      <c r="J15" s="46" t="n"/>
      <c r="K15" s="46" t="n"/>
      <c r="L15" s="46" t="n"/>
    </row>
    <row r="16">
      <c r="B16" s="61" t="inlineStr">
        <is>
          <t>EBITDA利润率</t>
        </is>
      </c>
      <c r="C16" s="62" t="n">
        <v>0.1</v>
      </c>
      <c r="D16" s="62" t="n">
        <v>0.13</v>
      </c>
      <c r="E16" s="62" t="n">
        <v>0.15</v>
      </c>
      <c r="F16" s="62" t="n">
        <v>0.1602564102564103</v>
      </c>
      <c r="G16" s="62" t="n">
        <v>0.18</v>
      </c>
      <c r="H16" s="47" t="n">
        <v>0.25</v>
      </c>
      <c r="I16" s="47" t="n">
        <v>0.28</v>
      </c>
      <c r="J16" s="47" t="n">
        <v>0.3</v>
      </c>
      <c r="K16" s="47" t="n">
        <v>0.31</v>
      </c>
      <c r="L16" s="47" t="n">
        <v>0.32</v>
      </c>
    </row>
    <row r="17">
      <c r="B17" s="27" t="inlineStr">
        <is>
          <t>EBITDA</t>
        </is>
      </c>
      <c r="C17" s="63" t="n">
        <v>530</v>
      </c>
      <c r="D17" s="63" t="n">
        <v>1014</v>
      </c>
      <c r="E17" s="63" t="n">
        <v>1680</v>
      </c>
      <c r="F17" s="63" t="n">
        <v>2500</v>
      </c>
      <c r="G17" s="63" t="n">
        <v>3600</v>
      </c>
      <c r="H17" s="57">
        <f>H13*H16</f>
        <v/>
      </c>
      <c r="I17" s="57">
        <f>I13*I16</f>
        <v/>
      </c>
      <c r="J17" s="57">
        <f>J13*J16</f>
        <v/>
      </c>
      <c r="K17" s="57">
        <f>K13*K16</f>
        <v/>
      </c>
      <c r="L17" s="57">
        <f>L13*L16</f>
        <v/>
      </c>
    </row>
    <row r="18">
      <c r="B18" s="27" t="inlineStr">
        <is>
          <t>折旧与摊销</t>
        </is>
      </c>
      <c r="C18" s="57">
        <f>C13*0.0300</f>
        <v/>
      </c>
      <c r="D18" s="57">
        <f>D13*0.0300</f>
        <v/>
      </c>
      <c r="E18" s="57">
        <f>E13*0.0300</f>
        <v/>
      </c>
      <c r="F18" s="57">
        <f>F13*0.0300</f>
        <v/>
      </c>
      <c r="G18" s="57">
        <f>G13*0.0300</f>
        <v/>
      </c>
      <c r="H18" s="57">
        <f>H13*0.0300</f>
        <v/>
      </c>
      <c r="I18" s="57">
        <f>I13*0.0300</f>
        <v/>
      </c>
      <c r="J18" s="57">
        <f>J13*0.0300</f>
        <v/>
      </c>
      <c r="K18" s="57">
        <f>K13*0.0300</f>
        <v/>
      </c>
      <c r="L18" s="57">
        <f>L13*0.0300</f>
        <v/>
      </c>
    </row>
    <row r="19">
      <c r="B19" s="27" t="inlineStr">
        <is>
          <t>EBIT</t>
        </is>
      </c>
      <c r="C19" s="57">
        <f>C17-C18</f>
        <v/>
      </c>
      <c r="D19" s="57">
        <f>D17-D18</f>
        <v/>
      </c>
      <c r="E19" s="57">
        <f>E17-E18</f>
        <v/>
      </c>
      <c r="F19" s="57">
        <f>F17-F18</f>
        <v/>
      </c>
      <c r="G19" s="57">
        <f>G17-G18</f>
        <v/>
      </c>
      <c r="H19" s="57">
        <f>H17-H18</f>
        <v/>
      </c>
      <c r="I19" s="57">
        <f>I17-I18</f>
        <v/>
      </c>
      <c r="J19" s="57">
        <f>J17-J18</f>
        <v/>
      </c>
      <c r="K19" s="57">
        <f>K17-K18</f>
        <v/>
      </c>
      <c r="L19" s="57">
        <f>L17-L18</f>
        <v/>
      </c>
    </row>
    <row r="20">
      <c r="B20" s="27" t="inlineStr">
        <is>
          <t>NOPAT</t>
        </is>
      </c>
      <c r="C20" s="57">
        <f>C19*(1-0.2100)</f>
        <v/>
      </c>
      <c r="D20" s="57">
        <f>D19*(1-0.2100)</f>
        <v/>
      </c>
      <c r="E20" s="57">
        <f>E19*(1-0.2100)</f>
        <v/>
      </c>
      <c r="F20" s="57">
        <f>F19*(1-0.2100)</f>
        <v/>
      </c>
      <c r="G20" s="57">
        <f>G19*(1-0.2100)</f>
        <v/>
      </c>
      <c r="H20" s="57">
        <f>H19*(1-0.2100)</f>
        <v/>
      </c>
      <c r="I20" s="57">
        <f>I19*(1-0.2100)</f>
        <v/>
      </c>
      <c r="J20" s="57">
        <f>J19*(1-0.2100)</f>
        <v/>
      </c>
      <c r="K20" s="57">
        <f>K19*(1-0.2100)</f>
        <v/>
      </c>
      <c r="L20" s="57">
        <f>L19*(1-0.2100)</f>
        <v/>
      </c>
    </row>
    <row r="21">
      <c r="B21" s="45" t="inlineStr">
        <is>
          <t>自由现金流(UFCF)</t>
        </is>
      </c>
      <c r="C21" s="46" t="n"/>
      <c r="D21" s="46" t="n"/>
      <c r="E21" s="46" t="n"/>
      <c r="F21" s="46" t="n"/>
      <c r="G21" s="46" t="n"/>
      <c r="H21" s="46" t="n"/>
      <c r="I21" s="46" t="n"/>
      <c r="J21" s="46" t="n"/>
      <c r="K21" s="46" t="n"/>
      <c r="L21" s="46" t="n"/>
    </row>
    <row r="22">
      <c r="B22" s="64" t="inlineStr">
        <is>
          <t>资本支出</t>
        </is>
      </c>
      <c r="C22" s="65">
        <f>C13*0.0500</f>
        <v/>
      </c>
      <c r="D22" s="65">
        <f>D13*0.0500</f>
        <v/>
      </c>
      <c r="E22" s="65">
        <f>E13*0.0500</f>
        <v/>
      </c>
      <c r="F22" s="65">
        <f>F13*0.0500</f>
        <v/>
      </c>
      <c r="G22" s="65">
        <f>G13*0.0500</f>
        <v/>
      </c>
      <c r="H22" s="65">
        <f>H13*0.0500</f>
        <v/>
      </c>
      <c r="I22" s="65">
        <f>I13*0.0500</f>
        <v/>
      </c>
      <c r="J22" s="65">
        <f>J13*0.0500</f>
        <v/>
      </c>
      <c r="K22" s="65">
        <f>K13*0.0500</f>
        <v/>
      </c>
      <c r="L22" s="65">
        <f>L13*0.0500</f>
        <v/>
      </c>
    </row>
    <row r="23">
      <c r="B23" s="64" t="inlineStr">
        <is>
          <t>营运资金变动</t>
        </is>
      </c>
      <c r="C23" s="65">
        <f>C13*0.0300</f>
        <v/>
      </c>
      <c r="D23" s="65">
        <f>(D13-C13)*0.0600</f>
        <v/>
      </c>
      <c r="E23" s="65">
        <f>(E13-D13)*0.0600</f>
        <v/>
      </c>
      <c r="F23" s="65">
        <f>(F13-E13)*0.0600</f>
        <v/>
      </c>
      <c r="G23" s="65">
        <f>(G13-F13)*0.0600</f>
        <v/>
      </c>
      <c r="H23" s="65">
        <f>(H13-G13)*0.0600</f>
        <v/>
      </c>
      <c r="I23" s="65">
        <f>(I13-H13)*0.0600</f>
        <v/>
      </c>
      <c r="J23" s="65">
        <f>(J13-I13)*0.0600</f>
        <v/>
      </c>
      <c r="K23" s="65">
        <f>(K13-J13)*0.0600</f>
        <v/>
      </c>
      <c r="L23" s="65">
        <f>(L13-K13)*0.0600</f>
        <v/>
      </c>
    </row>
    <row r="24">
      <c r="B24" s="66" t="inlineStr">
        <is>
          <t>自由现金流(UFCF)</t>
        </is>
      </c>
      <c r="C24" s="67">
        <f>C20+C18-C22-C23</f>
        <v/>
      </c>
      <c r="D24" s="67">
        <f>D20+D18-D22-D23</f>
        <v/>
      </c>
      <c r="E24" s="67">
        <f>E20+E18-E22-E23</f>
        <v/>
      </c>
      <c r="F24" s="67">
        <f>F20+F18-F22-F23</f>
        <v/>
      </c>
      <c r="G24" s="67">
        <f>G20+G18-G22-G23</f>
        <v/>
      </c>
      <c r="H24" s="67">
        <f>H20+H18-H22-H23</f>
        <v/>
      </c>
      <c r="I24" s="67">
        <f>I20+I18-I22-I23</f>
        <v/>
      </c>
      <c r="J24" s="67">
        <f>J20+J18-J22-J23</f>
        <v/>
      </c>
      <c r="K24" s="67">
        <f>K20+K18-K22-K23</f>
        <v/>
      </c>
      <c r="L24" s="67">
        <f>L20+L18-L22-L23</f>
        <v/>
      </c>
    </row>
    <row r="25">
      <c r="B25" s="45" t="inlineStr">
        <is>
          <t>终值</t>
        </is>
      </c>
      <c r="C25" s="46" t="n"/>
      <c r="D25" s="46" t="n"/>
      <c r="E25" s="46" t="n"/>
      <c r="F25" s="46" t="n"/>
      <c r="G25" s="46" t="n"/>
      <c r="H25" s="46" t="n"/>
      <c r="I25" s="46" t="n"/>
      <c r="J25" s="46" t="n"/>
      <c r="K25" s="46" t="n"/>
      <c r="L25" s="46" t="n"/>
    </row>
    <row r="26">
      <c r="B26" s="9" t="inlineStr">
        <is>
          <t>折现期</t>
        </is>
      </c>
      <c r="C26" s="33" t="n"/>
      <c r="D26" s="33" t="n"/>
      <c r="E26" s="33" t="n"/>
      <c r="F26" s="33" t="n"/>
      <c r="G26" s="33" t="n"/>
      <c r="H26" s="33" t="n">
        <v>0</v>
      </c>
      <c r="I26" s="33" t="n">
        <v>1</v>
      </c>
      <c r="J26" s="33" t="n">
        <v>2</v>
      </c>
      <c r="K26" s="33" t="n">
        <v>3</v>
      </c>
      <c r="L26" s="33" t="n">
        <v>4</v>
      </c>
    </row>
    <row r="27">
      <c r="B27" s="27" t="inlineStr">
        <is>
          <t>FCF现值</t>
        </is>
      </c>
      <c r="C27" s="57" t="n"/>
      <c r="D27" s="57" t="n"/>
      <c r="E27" s="57" t="n"/>
      <c r="F27" s="57" t="n"/>
      <c r="G27" s="57" t="n"/>
      <c r="H27" s="57">
        <f>H24/(1+0.108177)^1</f>
        <v/>
      </c>
      <c r="I27" s="57">
        <f>I24/(1+0.108177)^2</f>
        <v/>
      </c>
      <c r="J27" s="57">
        <f>J24/(1+0.108177)^3</f>
        <v/>
      </c>
      <c r="K27" s="57">
        <f>K24/(1+0.108177)^4</f>
        <v/>
      </c>
      <c r="L27" s="57">
        <f>L24/(1+0.108177)^5</f>
        <v/>
      </c>
    </row>
    <row r="28">
      <c r="B28" s="46" t="inlineStr"/>
      <c r="C28" s="46" t="n"/>
      <c r="D28" s="46" t="n"/>
      <c r="E28" s="46" t="n"/>
      <c r="F28" s="46" t="n"/>
      <c r="G28" s="46" t="n"/>
      <c r="H28" s="46" t="n"/>
      <c r="I28" s="46" t="n"/>
      <c r="J28" s="46" t="n"/>
      <c r="K28" s="46" t="n"/>
      <c r="L28" s="46" t="n"/>
    </row>
    <row r="29">
      <c r="B29" s="45" t="inlineStr">
        <is>
          <t>关键输入参数</t>
        </is>
      </c>
      <c r="C29" s="46" t="n"/>
      <c r="D29" s="46" t="n"/>
      <c r="E29" s="46" t="n"/>
      <c r="F29" s="46" t="n"/>
      <c r="G29" s="46" t="n"/>
      <c r="H29" s="46" t="n"/>
      <c r="I29" s="46" t="n"/>
      <c r="J29" s="46" t="n"/>
      <c r="K29" s="46" t="n"/>
      <c r="L29" s="46" t="n"/>
    </row>
    <row r="30">
      <c r="B30" s="27" t="inlineStr">
        <is>
          <t>FCF现值合计</t>
        </is>
      </c>
      <c r="C30" s="57">
        <f>SUM(C27:L27)</f>
        <v/>
      </c>
      <c r="D30" s="46" t="n"/>
      <c r="E30" s="46" t="n"/>
      <c r="F30" s="46" t="n"/>
      <c r="G30" s="46" t="n"/>
      <c r="H30" s="46" t="n"/>
      <c r="I30" s="46" t="n"/>
      <c r="J30" s="46" t="n"/>
      <c r="K30" s="46" t="n"/>
      <c r="L30" s="46" t="n"/>
    </row>
    <row r="31">
      <c r="B31" s="61" t="inlineStr">
        <is>
          <t>终值增长率</t>
        </is>
      </c>
      <c r="C31" s="47" t="n">
        <v>0.035</v>
      </c>
      <c r="D31" s="46" t="n"/>
      <c r="E31" s="46" t="n"/>
      <c r="F31" s="46" t="n"/>
      <c r="G31" s="46" t="n"/>
      <c r="H31" s="46" t="n"/>
      <c r="I31" s="46" t="n"/>
      <c r="J31" s="46" t="n"/>
      <c r="K31" s="46" t="n"/>
      <c r="L31" s="46" t="n"/>
    </row>
    <row r="32">
      <c r="B32" s="61" t="inlineStr">
        <is>
          <t>退出倍数</t>
        </is>
      </c>
      <c r="C32" s="68" t="n">
        <v>16</v>
      </c>
      <c r="D32" s="46" t="n"/>
      <c r="E32" s="46" t="n"/>
      <c r="F32" s="46" t="n"/>
      <c r="G32" s="46" t="n"/>
      <c r="H32" s="46" t="n"/>
      <c r="I32" s="46" t="n"/>
      <c r="J32" s="46" t="n"/>
      <c r="K32" s="46" t="n"/>
      <c r="L32" s="46" t="n"/>
    </row>
    <row r="33">
      <c r="B33" s="61" t="inlineStr">
        <is>
          <t>流通股本</t>
        </is>
      </c>
      <c r="C33" s="69" t="n">
        <v>1000</v>
      </c>
      <c r="D33" s="46" t="n"/>
      <c r="E33" s="46" t="n"/>
      <c r="F33" s="46" t="n"/>
      <c r="G33" s="46" t="n"/>
      <c r="H33" s="46" t="n"/>
      <c r="I33" s="46" t="n"/>
      <c r="J33" s="46" t="n"/>
      <c r="K33" s="46" t="n"/>
      <c r="L33" s="46" t="n"/>
    </row>
    <row r="34">
      <c r="B34" s="61" t="inlineStr">
        <is>
          <t>净债务</t>
        </is>
      </c>
      <c r="C34" s="70" t="n">
        <v>1000</v>
      </c>
      <c r="D34" s="46" t="n"/>
      <c r="E34" s="46" t="n"/>
      <c r="F34" s="46" t="n"/>
      <c r="G34" s="46" t="n"/>
      <c r="H34" s="46" t="n"/>
      <c r="I34" s="46" t="n"/>
      <c r="J34" s="46" t="n"/>
      <c r="K34" s="46" t="n"/>
      <c r="L34" s="46" t="n"/>
    </row>
    <row r="35">
      <c r="B35" s="61" t="inlineStr">
        <is>
          <t>WACC</t>
        </is>
      </c>
      <c r="C35" s="71">
        <f>'WACC拆解'!E20</f>
        <v/>
      </c>
      <c r="D35" s="72" t="inlineStr">
        <is>
          <t>WACC来源 → WACC拆解</t>
        </is>
      </c>
      <c r="E35" s="46" t="n"/>
      <c r="F35" s="46" t="n"/>
      <c r="G35" s="46" t="n"/>
      <c r="H35" s="46" t="n"/>
      <c r="I35" s="46" t="n"/>
      <c r="J35" s="46" t="n"/>
      <c r="K35" s="46" t="n"/>
      <c r="L35" s="46" t="n"/>
    </row>
    <row r="36">
      <c r="B36" s="46" t="inlineStr"/>
      <c r="C36" s="46" t="n"/>
      <c r="D36" s="46" t="n"/>
      <c r="E36" s="46" t="n"/>
      <c r="F36" s="46" t="n"/>
      <c r="G36" s="46" t="n"/>
      <c r="H36" s="46" t="n"/>
      <c r="I36" s="46" t="n"/>
      <c r="J36" s="46" t="n"/>
      <c r="K36" s="46" t="n"/>
      <c r="L36" s="46" t="n"/>
    </row>
    <row r="37">
      <c r="B37" s="45" t="inlineStr">
        <is>
          <t>终值</t>
        </is>
      </c>
      <c r="C37" s="46" t="n"/>
      <c r="D37" s="46" t="n"/>
      <c r="E37" s="46" t="n"/>
      <c r="F37" s="46" t="n"/>
      <c r="G37" s="46" t="n"/>
      <c r="H37" s="46" t="n"/>
      <c r="I37" s="46" t="n"/>
      <c r="J37" s="46" t="n"/>
      <c r="K37" s="46" t="n"/>
      <c r="L37" s="46" t="n"/>
    </row>
    <row r="38">
      <c r="B38" s="27" t="inlineStr">
        <is>
          <t>GGM终值</t>
        </is>
      </c>
      <c r="C38" s="57">
        <f>L24*(1+C31)/(C35-C31)</f>
        <v/>
      </c>
      <c r="D38" s="46" t="n"/>
      <c r="E38" s="46" t="n"/>
      <c r="F38" s="46" t="n"/>
      <c r="G38" s="46" t="n"/>
      <c r="H38" s="46" t="n"/>
      <c r="I38" s="46" t="n"/>
      <c r="J38" s="46" t="n"/>
      <c r="K38" s="46" t="n"/>
      <c r="L38" s="46" t="n"/>
    </row>
    <row r="39">
      <c r="B39" s="27" t="inlineStr">
        <is>
          <t>退出倍数终值</t>
        </is>
      </c>
      <c r="C39" s="57">
        <f>L17*C32</f>
        <v/>
      </c>
      <c r="D39" s="46" t="n"/>
      <c r="E39" s="46" t="n"/>
      <c r="F39" s="46" t="n"/>
      <c r="G39" s="46" t="n"/>
      <c r="H39" s="46" t="n"/>
      <c r="I39" s="46" t="n"/>
      <c r="J39" s="46" t="n"/>
      <c r="K39" s="46" t="n"/>
      <c r="L39" s="46" t="n"/>
    </row>
    <row r="40">
      <c r="B40" s="49" t="inlineStr">
        <is>
          <t>平均终值</t>
        </is>
      </c>
      <c r="C40" s="59">
        <f>(C38+C39)/2</f>
        <v/>
      </c>
      <c r="D40" s="46" t="n"/>
      <c r="E40" s="46" t="n"/>
      <c r="F40" s="46" t="n"/>
      <c r="G40" s="46" t="n"/>
      <c r="H40" s="46" t="n"/>
      <c r="I40" s="46" t="n"/>
      <c r="J40" s="46" t="n"/>
      <c r="K40" s="46" t="n"/>
      <c r="L40" s="46" t="n"/>
    </row>
    <row r="41">
      <c r="B41" s="27" t="inlineStr">
        <is>
          <t>终值现值</t>
        </is>
      </c>
      <c r="C41" s="57">
        <f>C40/(1+C35)^5</f>
        <v/>
      </c>
      <c r="D41" s="46" t="n"/>
      <c r="E41" s="46" t="n"/>
      <c r="F41" s="46" t="n"/>
      <c r="G41" s="46" t="n"/>
      <c r="H41" s="46" t="n"/>
      <c r="I41" s="46" t="n"/>
      <c r="J41" s="46" t="n"/>
      <c r="K41" s="46" t="n"/>
      <c r="L41" s="46" t="n"/>
    </row>
    <row r="42">
      <c r="B42" s="46" t="inlineStr"/>
      <c r="C42" s="46" t="n"/>
      <c r="D42" s="46" t="n"/>
      <c r="E42" s="46" t="n"/>
      <c r="F42" s="46" t="n"/>
      <c r="G42" s="46" t="n"/>
      <c r="H42" s="46" t="n"/>
      <c r="I42" s="46" t="n"/>
      <c r="J42" s="46" t="n"/>
      <c r="K42" s="46" t="n"/>
      <c r="L42" s="46" t="n"/>
    </row>
    <row r="43">
      <c r="B43" s="73" t="inlineStr">
        <is>
          <t>企业价值</t>
        </is>
      </c>
      <c r="C43" s="74">
        <f>C30+C41</f>
        <v/>
      </c>
      <c r="D43" s="46" t="n"/>
      <c r="E43" s="46" t="n"/>
      <c r="F43" s="46" t="n"/>
      <c r="G43" s="46" t="n"/>
      <c r="H43" s="46" t="n"/>
      <c r="I43" s="46" t="n"/>
      <c r="J43" s="46" t="n"/>
      <c r="K43" s="46" t="n"/>
      <c r="L43" s="46" t="n"/>
    </row>
    <row r="44">
      <c r="B44" s="73" t="inlineStr">
        <is>
          <t>股权价值</t>
        </is>
      </c>
      <c r="C44" s="74">
        <f>C43-C34</f>
        <v/>
      </c>
      <c r="D44" s="46" t="n"/>
      <c r="E44" s="46" t="n"/>
      <c r="F44" s="46" t="n"/>
      <c r="G44" s="46" t="n"/>
      <c r="H44" s="46" t="n"/>
      <c r="I44" s="46" t="n"/>
      <c r="J44" s="46" t="n"/>
      <c r="K44" s="46" t="n"/>
      <c r="L44" s="46" t="n"/>
    </row>
    <row r="45">
      <c r="B45" s="53" t="inlineStr">
        <is>
          <t>每股价值</t>
        </is>
      </c>
      <c r="C45" s="75">
        <f>C44/C33</f>
        <v/>
      </c>
      <c r="D45" s="46" t="n"/>
      <c r="E45" s="46" t="n"/>
      <c r="F45" s="46" t="n"/>
      <c r="G45" s="46" t="n"/>
      <c r="H45" s="46" t="n"/>
      <c r="I45" s="46" t="n"/>
      <c r="J45" s="46" t="n"/>
      <c r="K45" s="46" t="n"/>
      <c r="L45" s="46" t="n"/>
    </row>
    <row r="46">
      <c r="B46" s="27" t="inlineStr">
        <is>
          <t>隐含EV/Revenue</t>
        </is>
      </c>
      <c r="C46" s="76">
        <f>IF(L13=0,0,C43/L13)</f>
        <v/>
      </c>
      <c r="D46" s="46" t="n"/>
      <c r="E46" s="46" t="n"/>
      <c r="F46" s="46" t="n"/>
      <c r="G46" s="46" t="n"/>
      <c r="H46" s="46" t="n"/>
      <c r="I46" s="46" t="n"/>
      <c r="J46" s="46" t="n"/>
      <c r="K46" s="46" t="n"/>
      <c r="L46" s="46" t="n"/>
    </row>
    <row r="47">
      <c r="B47" s="27" t="inlineStr">
        <is>
          <t>隐含EV/EBITDA</t>
        </is>
      </c>
      <c r="C47" s="76">
        <f>IF(L17=0,0,C43/L17)</f>
        <v/>
      </c>
      <c r="D47" s="46" t="n"/>
      <c r="E47" s="46" t="n"/>
      <c r="F47" s="46" t="n"/>
      <c r="G47" s="46" t="n"/>
      <c r="H47" s="46" t="n"/>
      <c r="I47" s="46" t="n"/>
      <c r="J47" s="46" t="n"/>
      <c r="K47" s="46" t="n"/>
      <c r="L47" s="46" t="n"/>
    </row>
    <row r="48">
      <c r="B48" s="27" t="inlineStr">
        <is>
          <t>收入CAGR</t>
        </is>
      </c>
      <c r="C48" s="52">
        <f>(L13/H13)^(1/5)-1</f>
        <v/>
      </c>
      <c r="D48" s="46" t="n"/>
      <c r="E48" s="46" t="n"/>
      <c r="F48" s="46" t="n"/>
      <c r="G48" s="46" t="n"/>
      <c r="H48" s="46" t="n"/>
      <c r="I48" s="46" t="n"/>
      <c r="J48" s="46" t="n"/>
      <c r="K48" s="46" t="n"/>
      <c r="L48" s="46" t="n"/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tabColor rgb="004472C4"/>
    <outlinePr summaryBelow="1" summaryRight="1"/>
    <pageSetUpPr/>
  </sheetPr>
  <dimension ref="B1:I50"/>
  <sheetViews>
    <sheetView workbookViewId="0">
      <selection activeCell="A1" sqref="A1"/>
    </sheetView>
  </sheetViews>
  <sheetFormatPr baseColWidth="8" defaultRowHeight="15"/>
  <cols>
    <col width="2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</cols>
  <sheetData>
    <row r="1">
      <c r="B1" s="79" t="inlineStr">
        <is>
          <t>WACC × 终值增长率 → 企业价值</t>
        </is>
      </c>
    </row>
    <row r="2">
      <c r="B2" s="14" t="inlineStr">
        <is>
          <t>WACC \ 终值增长率</t>
        </is>
      </c>
      <c r="C2" s="80" t="n">
        <v>0.015</v>
      </c>
      <c r="D2" s="80" t="n">
        <v>0.02</v>
      </c>
      <c r="E2" s="80" t="n">
        <v>0.025</v>
      </c>
      <c r="F2" s="80" t="n">
        <v>0.03</v>
      </c>
      <c r="G2" s="80" t="n">
        <v>0.035</v>
      </c>
      <c r="H2" s="80" t="n">
        <v>0.04</v>
      </c>
      <c r="I2" s="80" t="n">
        <v>0.045</v>
      </c>
    </row>
    <row r="3">
      <c r="B3" s="81" t="n">
        <v>0.1026</v>
      </c>
      <c r="C3" s="57">
        <f>('基准DCF'!L24*(1+$C$2)/($B$3-$C$2)+'基准DCF'!L17*12.0)/2/(1+$B$3)^5+'基准DCF'!C30*($B$7/$B$3)</f>
        <v/>
      </c>
      <c r="D3" s="57">
        <f>('基准DCF'!L24*(1+$D$2)/($B$3-$D$2)+'基准DCF'!L17*12.0)/2/(1+$B$3)^5+'基准DCF'!C30*($B$7/$B$3)</f>
        <v/>
      </c>
      <c r="E3" s="57">
        <f>('基准DCF'!L24*(1+$E$2)/($B$3-$E$2)+'基准DCF'!L17*12.0)/2/(1+$B$3)^5+'基准DCF'!C30*($B$7/$B$3)</f>
        <v/>
      </c>
      <c r="F3" s="57">
        <f>('基准DCF'!L24*(1+$F$2)/($B$3-$F$2)+'基准DCF'!L17*12.0)/2/(1+$B$3)^5+'基准DCF'!C30*($B$7/$B$3)</f>
        <v/>
      </c>
      <c r="G3" s="57">
        <f>('基准DCF'!L24*(1+$G$2)/($B$3-$G$2)+'基准DCF'!L17*12.0)/2/(1+$B$3)^5+'基准DCF'!C30*($B$7/$B$3)</f>
        <v/>
      </c>
      <c r="H3" s="57">
        <f>('基准DCF'!L24*(1+$H$2)/($B$3-$H$2)+'基准DCF'!L17*12.0)/2/(1+$B$3)^5+'基准DCF'!C30*($B$7/$B$3)</f>
        <v/>
      </c>
      <c r="I3" s="57">
        <f>('基准DCF'!L24*(1+$I$2)/($B$3-$I$2)+'基准DCF'!L17*12.0)/2/(1+$B$3)^5+'基准DCF'!C30*($B$7/$B$3)</f>
        <v/>
      </c>
    </row>
    <row r="4">
      <c r="B4" s="81" t="n">
        <v>0.1076</v>
      </c>
      <c r="C4" s="57">
        <f>('基准DCF'!L24*(1+$C$2)/($B$4-$C$2)+'基准DCF'!L17*12.0)/2/(1+$B$4)^5+'基准DCF'!C30*($B$7/$B$4)</f>
        <v/>
      </c>
      <c r="D4" s="57">
        <f>('基准DCF'!L24*(1+$D$2)/($B$4-$D$2)+'基准DCF'!L17*12.0)/2/(1+$B$4)^5+'基准DCF'!C30*($B$7/$B$4)</f>
        <v/>
      </c>
      <c r="E4" s="57">
        <f>('基准DCF'!L24*(1+$E$2)/($B$4-$E$2)+'基准DCF'!L17*12.0)/2/(1+$B$4)^5+'基准DCF'!C30*($B$7/$B$4)</f>
        <v/>
      </c>
      <c r="F4" s="57">
        <f>('基准DCF'!L24*(1+$F$2)/($B$4-$F$2)+'基准DCF'!L17*12.0)/2/(1+$B$4)^5+'基准DCF'!C30*($B$7/$B$4)</f>
        <v/>
      </c>
      <c r="G4" s="57">
        <f>('基准DCF'!L24*(1+$G$2)/($B$4-$G$2)+'基准DCF'!L17*12.0)/2/(1+$B$4)^5+'基准DCF'!C30*($B$7/$B$4)</f>
        <v/>
      </c>
      <c r="H4" s="57">
        <f>('基准DCF'!L24*(1+$H$2)/($B$4-$H$2)+'基准DCF'!L17*12.0)/2/(1+$B$4)^5+'基准DCF'!C30*($B$7/$B$4)</f>
        <v/>
      </c>
      <c r="I4" s="57">
        <f>('基准DCF'!L24*(1+$I$2)/($B$4-$I$2)+'基准DCF'!L17*12.0)/2/(1+$B$4)^5+'基准DCF'!C30*($B$7/$B$4)</f>
        <v/>
      </c>
    </row>
    <row r="5">
      <c r="B5" s="81" t="n">
        <v>0.1126</v>
      </c>
      <c r="C5" s="57">
        <f>('基准DCF'!L24*(1+$C$2)/($B$5-$C$2)+'基准DCF'!L17*12.0)/2/(1+$B$5)^5+'基准DCF'!C30*($B$7/$B$5)</f>
        <v/>
      </c>
      <c r="D5" s="57">
        <f>('基准DCF'!L24*(1+$D$2)/($B$5-$D$2)+'基准DCF'!L17*12.0)/2/(1+$B$5)^5+'基准DCF'!C30*($B$7/$B$5)</f>
        <v/>
      </c>
      <c r="E5" s="57">
        <f>('基准DCF'!L24*(1+$E$2)/($B$5-$E$2)+'基准DCF'!L17*12.0)/2/(1+$B$5)^5+'基准DCF'!C30*($B$7/$B$5)</f>
        <v/>
      </c>
      <c r="F5" s="57">
        <f>('基准DCF'!L24*(1+$F$2)/($B$5-$F$2)+'基准DCF'!L17*12.0)/2/(1+$B$5)^5+'基准DCF'!C30*($B$7/$B$5)</f>
        <v/>
      </c>
      <c r="G5" s="57">
        <f>('基准DCF'!L24*(1+$G$2)/($B$5-$G$2)+'基准DCF'!L17*12.0)/2/(1+$B$5)^5+'基准DCF'!C30*($B$7/$B$5)</f>
        <v/>
      </c>
      <c r="H5" s="57">
        <f>('基准DCF'!L24*(1+$H$2)/($B$5-$H$2)+'基准DCF'!L17*12.0)/2/(1+$B$5)^5+'基准DCF'!C30*($B$7/$B$5)</f>
        <v/>
      </c>
      <c r="I5" s="57">
        <f>('基准DCF'!L24*(1+$I$2)/($B$5-$I$2)+'基准DCF'!L17*12.0)/2/(1+$B$5)^5+'基准DCF'!C30*($B$7/$B$5)</f>
        <v/>
      </c>
    </row>
    <row r="6">
      <c r="B6" s="81" t="n">
        <v>0.1176</v>
      </c>
      <c r="C6" s="57">
        <f>('基准DCF'!L24*(1+$C$2)/($B$6-$C$2)+'基准DCF'!L17*12.0)/2/(1+$B$6)^5+'基准DCF'!C30*($B$7/$B$6)</f>
        <v/>
      </c>
      <c r="D6" s="57">
        <f>('基准DCF'!L24*(1+$D$2)/($B$6-$D$2)+'基准DCF'!L17*12.0)/2/(1+$B$6)^5+'基准DCF'!C30*($B$7/$B$6)</f>
        <v/>
      </c>
      <c r="E6" s="57">
        <f>('基准DCF'!L24*(1+$E$2)/($B$6-$E$2)+'基准DCF'!L17*12.0)/2/(1+$B$6)^5+'基准DCF'!C30*($B$7/$B$6)</f>
        <v/>
      </c>
      <c r="F6" s="57">
        <f>('基准DCF'!L24*(1+$F$2)/($B$6-$F$2)+'基准DCF'!L17*12.0)/2/(1+$B$6)^5+'基准DCF'!C30*($B$7/$B$6)</f>
        <v/>
      </c>
      <c r="G6" s="57">
        <f>('基准DCF'!L24*(1+$G$2)/($B$6-$G$2)+'基准DCF'!L17*12.0)/2/(1+$B$6)^5+'基准DCF'!C30*($B$7/$B$6)</f>
        <v/>
      </c>
      <c r="H6" s="57">
        <f>('基准DCF'!L24*(1+$H$2)/($B$6-$H$2)+'基准DCF'!L17*12.0)/2/(1+$B$6)^5+'基准DCF'!C30*($B$7/$B$6)</f>
        <v/>
      </c>
      <c r="I6" s="57">
        <f>('基准DCF'!L24*(1+$I$2)/($B$6-$I$2)+'基准DCF'!L17*12.0)/2/(1+$B$6)^5+'基准DCF'!C30*($B$7/$B$6)</f>
        <v/>
      </c>
    </row>
    <row r="7">
      <c r="B7" s="81" t="n">
        <v>0.1226</v>
      </c>
      <c r="C7" s="57">
        <f>('基准DCF'!L24*(1+$C$2)/($B$7-$C$2)+'基准DCF'!L17*12.0)/2/(1+$B$7)^5+'基准DCF'!C30*($B$7/$B$7)</f>
        <v/>
      </c>
      <c r="D7" s="57">
        <f>('基准DCF'!L24*(1+$D$2)/($B$7-$D$2)+'基准DCF'!L17*12.0)/2/(1+$B$7)^5+'基准DCF'!C30*($B$7/$B$7)</f>
        <v/>
      </c>
      <c r="E7" s="57">
        <f>('基准DCF'!L24*(1+$E$2)/($B$7-$E$2)+'基准DCF'!L17*12.0)/2/(1+$B$7)^5+'基准DCF'!C30*($B$7/$B$7)</f>
        <v/>
      </c>
      <c r="F7" s="82">
        <f>('基准DCF'!L24*(1+$F$2)/($B$7-$F$2)+'基准DCF'!L17*12.0)/2/(1+$B$7)^5+'基准DCF'!C30*($B$7/$B$7)</f>
        <v/>
      </c>
      <c r="G7" s="57">
        <f>('基准DCF'!L24*(1+$G$2)/($B$7-$G$2)+'基准DCF'!L17*12.0)/2/(1+$B$7)^5+'基准DCF'!C30*($B$7/$B$7)</f>
        <v/>
      </c>
      <c r="H7" s="57">
        <f>('基准DCF'!L24*(1+$H$2)/($B$7-$H$2)+'基准DCF'!L17*12.0)/2/(1+$B$7)^5+'基准DCF'!C30*($B$7/$B$7)</f>
        <v/>
      </c>
      <c r="I7" s="57">
        <f>('基准DCF'!L24*(1+$I$2)/($B$7-$I$2)+'基准DCF'!L17*12.0)/2/(1+$B$7)^5+'基准DCF'!C30*($B$7/$B$7)</f>
        <v/>
      </c>
    </row>
    <row r="8">
      <c r="B8" s="81" t="n">
        <v>0.1276</v>
      </c>
      <c r="C8" s="57">
        <f>('基准DCF'!L24*(1+$C$2)/($B$8-$C$2)+'基准DCF'!L17*12.0)/2/(1+$B$8)^5+'基准DCF'!C30*($B$7/$B$8)</f>
        <v/>
      </c>
      <c r="D8" s="57">
        <f>('基准DCF'!L24*(1+$D$2)/($B$8-$D$2)+'基准DCF'!L17*12.0)/2/(1+$B$8)^5+'基准DCF'!C30*($B$7/$B$8)</f>
        <v/>
      </c>
      <c r="E8" s="57">
        <f>('基准DCF'!L24*(1+$E$2)/($B$8-$E$2)+'基准DCF'!L17*12.0)/2/(1+$B$8)^5+'基准DCF'!C30*($B$7/$B$8)</f>
        <v/>
      </c>
      <c r="F8" s="57">
        <f>('基准DCF'!L24*(1+$F$2)/($B$8-$F$2)+'基准DCF'!L17*12.0)/2/(1+$B$8)^5+'基准DCF'!C30*($B$7/$B$8)</f>
        <v/>
      </c>
      <c r="G8" s="57">
        <f>('基准DCF'!L24*(1+$G$2)/($B$8-$G$2)+'基准DCF'!L17*12.0)/2/(1+$B$8)^5+'基准DCF'!C30*($B$7/$B$8)</f>
        <v/>
      </c>
      <c r="H8" s="57">
        <f>('基准DCF'!L24*(1+$H$2)/($B$8-$H$2)+'基准DCF'!L17*12.0)/2/(1+$B$8)^5+'基准DCF'!C30*($B$7/$B$8)</f>
        <v/>
      </c>
      <c r="I8" s="57">
        <f>('基准DCF'!L24*(1+$I$2)/($B$8-$I$2)+'基准DCF'!L17*12.0)/2/(1+$B$8)^5+'基准DCF'!C30*($B$7/$B$8)</f>
        <v/>
      </c>
    </row>
    <row r="9">
      <c r="B9" s="81" t="n">
        <v>0.1326</v>
      </c>
      <c r="C9" s="57">
        <f>('基准DCF'!L24*(1+$C$2)/($B$9-$C$2)+'基准DCF'!L17*12.0)/2/(1+$B$9)^5+'基准DCF'!C30*($B$7/$B$9)</f>
        <v/>
      </c>
      <c r="D9" s="57">
        <f>('基准DCF'!L24*(1+$D$2)/($B$9-$D$2)+'基准DCF'!L17*12.0)/2/(1+$B$9)^5+'基准DCF'!C30*($B$7/$B$9)</f>
        <v/>
      </c>
      <c r="E9" s="57">
        <f>('基准DCF'!L24*(1+$E$2)/($B$9-$E$2)+'基准DCF'!L17*12.0)/2/(1+$B$9)^5+'基准DCF'!C30*($B$7/$B$9)</f>
        <v/>
      </c>
      <c r="F9" s="57">
        <f>('基准DCF'!L24*(1+$F$2)/($B$9-$F$2)+'基准DCF'!L17*12.0)/2/(1+$B$9)^5+'基准DCF'!C30*($B$7/$B$9)</f>
        <v/>
      </c>
      <c r="G9" s="57">
        <f>('基准DCF'!L24*(1+$G$2)/($B$9-$G$2)+'基准DCF'!L17*12.0)/2/(1+$B$9)^5+'基准DCF'!C30*($B$7/$B$9)</f>
        <v/>
      </c>
      <c r="H9" s="57">
        <f>('基准DCF'!L24*(1+$H$2)/($B$9-$H$2)+'基准DCF'!L17*12.0)/2/(1+$B$9)^5+'基准DCF'!C30*($B$7/$B$9)</f>
        <v/>
      </c>
      <c r="I9" s="57">
        <f>('基准DCF'!L24*(1+$I$2)/($B$9-$I$2)+'基准DCF'!L17*12.0)/2/(1+$B$9)^5+'基准DCF'!C30*($B$7/$B$9)</f>
        <v/>
      </c>
    </row>
    <row r="10">
      <c r="B10" s="81" t="n">
        <v>0.1376</v>
      </c>
      <c r="C10" s="57">
        <f>('基准DCF'!L24*(1+$C$2)/($B$10-$C$2)+'基准DCF'!L17*12.0)/2/(1+$B$10)^5+'基准DCF'!C30*($B$7/$B$10)</f>
        <v/>
      </c>
      <c r="D10" s="57">
        <f>('基准DCF'!L24*(1+$D$2)/($B$10-$D$2)+'基准DCF'!L17*12.0)/2/(1+$B$10)^5+'基准DCF'!C30*($B$7/$B$10)</f>
        <v/>
      </c>
      <c r="E10" s="57">
        <f>('基准DCF'!L24*(1+$E$2)/($B$10-$E$2)+'基准DCF'!L17*12.0)/2/(1+$B$10)^5+'基准DCF'!C30*($B$7/$B$10)</f>
        <v/>
      </c>
      <c r="F10" s="57">
        <f>('基准DCF'!L24*(1+$F$2)/($B$10-$F$2)+'基准DCF'!L17*12.0)/2/(1+$B$10)^5+'基准DCF'!C30*($B$7/$B$10)</f>
        <v/>
      </c>
      <c r="G10" s="57">
        <f>('基准DCF'!L24*(1+$G$2)/($B$10-$G$2)+'基准DCF'!L17*12.0)/2/(1+$B$10)^5+'基准DCF'!C30*($B$7/$B$10)</f>
        <v/>
      </c>
      <c r="H10" s="57">
        <f>('基准DCF'!L24*(1+$H$2)/($B$10-$H$2)+'基准DCF'!L17*12.0)/2/(1+$B$10)^5+'基准DCF'!C30*($B$7/$B$10)</f>
        <v/>
      </c>
      <c r="I10" s="57">
        <f>('基准DCF'!L24*(1+$I$2)/($B$10-$I$2)+'基准DCF'!L17*12.0)/2/(1+$B$10)^5+'基准DCF'!C30*($B$7/$B$10)</f>
        <v/>
      </c>
    </row>
    <row r="11">
      <c r="B11" s="81" t="n">
        <v>0.1426</v>
      </c>
      <c r="C11" s="57">
        <f>('基准DCF'!L24*(1+$C$2)/($B$11-$C$2)+'基准DCF'!L17*12.0)/2/(1+$B$11)^5+'基准DCF'!C30*($B$7/$B$11)</f>
        <v/>
      </c>
      <c r="D11" s="57">
        <f>('基准DCF'!L24*(1+$D$2)/($B$11-$D$2)+'基准DCF'!L17*12.0)/2/(1+$B$11)^5+'基准DCF'!C30*($B$7/$B$11)</f>
        <v/>
      </c>
      <c r="E11" s="57">
        <f>('基准DCF'!L24*(1+$E$2)/($B$11-$E$2)+'基准DCF'!L17*12.0)/2/(1+$B$11)^5+'基准DCF'!C30*($B$7/$B$11)</f>
        <v/>
      </c>
      <c r="F11" s="57">
        <f>('基准DCF'!L24*(1+$F$2)/($B$11-$F$2)+'基准DCF'!L17*12.0)/2/(1+$B$11)^5+'基准DCF'!C30*($B$7/$B$11)</f>
        <v/>
      </c>
      <c r="G11" s="57">
        <f>('基准DCF'!L24*(1+$G$2)/($B$11-$G$2)+'基准DCF'!L17*12.0)/2/(1+$B$11)^5+'基准DCF'!C30*($B$7/$B$11)</f>
        <v/>
      </c>
      <c r="H11" s="57">
        <f>('基准DCF'!L24*(1+$H$2)/($B$11-$H$2)+'基准DCF'!L17*12.0)/2/(1+$B$11)^5+'基准DCF'!C30*($B$7/$B$11)</f>
        <v/>
      </c>
      <c r="I11" s="57">
        <f>('基准DCF'!L24*(1+$I$2)/($B$11-$I$2)+'基准DCF'!L17*12.0)/2/(1+$B$11)^5+'基准DCF'!C30*($B$7/$B$11)</f>
        <v/>
      </c>
    </row>
    <row r="14">
      <c r="B14" s="79" t="inlineStr">
        <is>
          <t>WACC × 终值增长率 → 每股价值</t>
        </is>
      </c>
    </row>
    <row r="15">
      <c r="B15" s="14" t="inlineStr">
        <is>
          <t>WACC \ 终值增长率</t>
        </is>
      </c>
      <c r="C15" s="80" t="n">
        <v>0.015</v>
      </c>
      <c r="D15" s="80" t="n">
        <v>0.02</v>
      </c>
      <c r="E15" s="80" t="n">
        <v>0.025</v>
      </c>
      <c r="F15" s="80" t="n">
        <v>0.03</v>
      </c>
      <c r="G15" s="80" t="n">
        <v>0.035</v>
      </c>
      <c r="H15" s="80" t="n">
        <v>0.04</v>
      </c>
      <c r="I15" s="80" t="n">
        <v>0.045</v>
      </c>
    </row>
    <row r="16">
      <c r="B16" s="81" t="n">
        <v>0.1026</v>
      </c>
      <c r="C16" s="83">
        <f>((('基准DCF'!L24*(1+$C$15)/($B$16-$C$15)+'基准DCF'!L17*12.0)/2/(1+$B$16)^5+'基准DCF'!C30*($B$20/$B$16)-'基准DCF'!C34)/1000</f>
        <v/>
      </c>
      <c r="D16" s="83">
        <f>((('基准DCF'!L24*(1+$D$15)/($B$16-$D$15)+'基准DCF'!L17*12.0)/2/(1+$B$16)^5+'基准DCF'!C30*($B$20/$B$16)-'基准DCF'!C34)/1000</f>
        <v/>
      </c>
      <c r="E16" s="83">
        <f>((('基准DCF'!L24*(1+$E$15)/($B$16-$E$15)+'基准DCF'!L17*12.0)/2/(1+$B$16)^5+'基准DCF'!C30*($B$20/$B$16)-'基准DCF'!C34)/1000</f>
        <v/>
      </c>
      <c r="F16" s="83">
        <f>((('基准DCF'!L24*(1+$F$15)/($B$16-$F$15)+'基准DCF'!L17*12.0)/2/(1+$B$16)^5+'基准DCF'!C30*($B$20/$B$16)-'基准DCF'!C34)/1000</f>
        <v/>
      </c>
      <c r="G16" s="83">
        <f>((('基准DCF'!L24*(1+$G$15)/($B$16-$G$15)+'基准DCF'!L17*12.0)/2/(1+$B$16)^5+'基准DCF'!C30*($B$20/$B$16)-'基准DCF'!C34)/1000</f>
        <v/>
      </c>
      <c r="H16" s="83">
        <f>((('基准DCF'!L24*(1+$H$15)/($B$16-$H$15)+'基准DCF'!L17*12.0)/2/(1+$B$16)^5+'基准DCF'!C30*($B$20/$B$16)-'基准DCF'!C34)/1000</f>
        <v/>
      </c>
      <c r="I16" s="83">
        <f>((('基准DCF'!L24*(1+$I$15)/($B$16-$I$15)+'基准DCF'!L17*12.0)/2/(1+$B$16)^5+'基准DCF'!C30*($B$20/$B$16)-'基准DCF'!C34)/1000</f>
        <v/>
      </c>
    </row>
    <row r="17">
      <c r="B17" s="81" t="n">
        <v>0.1076</v>
      </c>
      <c r="C17" s="83">
        <f>((('基准DCF'!L24*(1+$C$15)/($B$17-$C$15)+'基准DCF'!L17*12.0)/2/(1+$B$17)^5+'基准DCF'!C30*($B$20/$B$17)-'基准DCF'!C34)/1000</f>
        <v/>
      </c>
      <c r="D17" s="83">
        <f>((('基准DCF'!L24*(1+$D$15)/($B$17-$D$15)+'基准DCF'!L17*12.0)/2/(1+$B$17)^5+'基准DCF'!C30*($B$20/$B$17)-'基准DCF'!C34)/1000</f>
        <v/>
      </c>
      <c r="E17" s="83">
        <f>((('基准DCF'!L24*(1+$E$15)/($B$17-$E$15)+'基准DCF'!L17*12.0)/2/(1+$B$17)^5+'基准DCF'!C30*($B$20/$B$17)-'基准DCF'!C34)/1000</f>
        <v/>
      </c>
      <c r="F17" s="83">
        <f>((('基准DCF'!L24*(1+$F$15)/($B$17-$F$15)+'基准DCF'!L17*12.0)/2/(1+$B$17)^5+'基准DCF'!C30*($B$20/$B$17)-'基准DCF'!C34)/1000</f>
        <v/>
      </c>
      <c r="G17" s="83">
        <f>((('基准DCF'!L24*(1+$G$15)/($B$17-$G$15)+'基准DCF'!L17*12.0)/2/(1+$B$17)^5+'基准DCF'!C30*($B$20/$B$17)-'基准DCF'!C34)/1000</f>
        <v/>
      </c>
      <c r="H17" s="83">
        <f>((('基准DCF'!L24*(1+$H$15)/($B$17-$H$15)+'基准DCF'!L17*12.0)/2/(1+$B$17)^5+'基准DCF'!C30*($B$20/$B$17)-'基准DCF'!C34)/1000</f>
        <v/>
      </c>
      <c r="I17" s="83">
        <f>((('基准DCF'!L24*(1+$I$15)/($B$17-$I$15)+'基准DCF'!L17*12.0)/2/(1+$B$17)^5+'基准DCF'!C30*($B$20/$B$17)-'基准DCF'!C34)/1000</f>
        <v/>
      </c>
    </row>
    <row r="18">
      <c r="B18" s="81" t="n">
        <v>0.1126</v>
      </c>
      <c r="C18" s="83">
        <f>((('基准DCF'!L24*(1+$C$15)/($B$18-$C$15)+'基准DCF'!L17*12.0)/2/(1+$B$18)^5+'基准DCF'!C30*($B$20/$B$18)-'基准DCF'!C34)/1000</f>
        <v/>
      </c>
      <c r="D18" s="83">
        <f>((('基准DCF'!L24*(1+$D$15)/($B$18-$D$15)+'基准DCF'!L17*12.0)/2/(1+$B$18)^5+'基准DCF'!C30*($B$20/$B$18)-'基准DCF'!C34)/1000</f>
        <v/>
      </c>
      <c r="E18" s="83">
        <f>((('基准DCF'!L24*(1+$E$15)/($B$18-$E$15)+'基准DCF'!L17*12.0)/2/(1+$B$18)^5+'基准DCF'!C30*($B$20/$B$18)-'基准DCF'!C34)/1000</f>
        <v/>
      </c>
      <c r="F18" s="83">
        <f>((('基准DCF'!L24*(1+$F$15)/($B$18-$F$15)+'基准DCF'!L17*12.0)/2/(1+$B$18)^5+'基准DCF'!C30*($B$20/$B$18)-'基准DCF'!C34)/1000</f>
        <v/>
      </c>
      <c r="G18" s="83">
        <f>((('基准DCF'!L24*(1+$G$15)/($B$18-$G$15)+'基准DCF'!L17*12.0)/2/(1+$B$18)^5+'基准DCF'!C30*($B$20/$B$18)-'基准DCF'!C34)/1000</f>
        <v/>
      </c>
      <c r="H18" s="83">
        <f>((('基准DCF'!L24*(1+$H$15)/($B$18-$H$15)+'基准DCF'!L17*12.0)/2/(1+$B$18)^5+'基准DCF'!C30*($B$20/$B$18)-'基准DCF'!C34)/1000</f>
        <v/>
      </c>
      <c r="I18" s="83">
        <f>((('基准DCF'!L24*(1+$I$15)/($B$18-$I$15)+'基准DCF'!L17*12.0)/2/(1+$B$18)^5+'基准DCF'!C30*($B$20/$B$18)-'基准DCF'!C34)/1000</f>
        <v/>
      </c>
    </row>
    <row r="19">
      <c r="B19" s="81" t="n">
        <v>0.1176</v>
      </c>
      <c r="C19" s="83">
        <f>((('基准DCF'!L24*(1+$C$15)/($B$19-$C$15)+'基准DCF'!L17*12.0)/2/(1+$B$19)^5+'基准DCF'!C30*($B$20/$B$19)-'基准DCF'!C34)/1000</f>
        <v/>
      </c>
      <c r="D19" s="83">
        <f>((('基准DCF'!L24*(1+$D$15)/($B$19-$D$15)+'基准DCF'!L17*12.0)/2/(1+$B$19)^5+'基准DCF'!C30*($B$20/$B$19)-'基准DCF'!C34)/1000</f>
        <v/>
      </c>
      <c r="E19" s="83">
        <f>((('基准DCF'!L24*(1+$E$15)/($B$19-$E$15)+'基准DCF'!L17*12.0)/2/(1+$B$19)^5+'基准DCF'!C30*($B$20/$B$19)-'基准DCF'!C34)/1000</f>
        <v/>
      </c>
      <c r="F19" s="83">
        <f>((('基准DCF'!L24*(1+$F$15)/($B$19-$F$15)+'基准DCF'!L17*12.0)/2/(1+$B$19)^5+'基准DCF'!C30*($B$20/$B$19)-'基准DCF'!C34)/1000</f>
        <v/>
      </c>
      <c r="G19" s="83">
        <f>((('基准DCF'!L24*(1+$G$15)/($B$19-$G$15)+'基准DCF'!L17*12.0)/2/(1+$B$19)^5+'基准DCF'!C30*($B$20/$B$19)-'基准DCF'!C34)/1000</f>
        <v/>
      </c>
      <c r="H19" s="83">
        <f>((('基准DCF'!L24*(1+$H$15)/($B$19-$H$15)+'基准DCF'!L17*12.0)/2/(1+$B$19)^5+'基准DCF'!C30*($B$20/$B$19)-'基准DCF'!C34)/1000</f>
        <v/>
      </c>
      <c r="I19" s="83">
        <f>((('基准DCF'!L24*(1+$I$15)/($B$19-$I$15)+'基准DCF'!L17*12.0)/2/(1+$B$19)^5+'基准DCF'!C30*($B$20/$B$19)-'基准DCF'!C34)/1000</f>
        <v/>
      </c>
    </row>
    <row r="20">
      <c r="B20" s="81" t="n">
        <v>0.1226</v>
      </c>
      <c r="C20" s="83">
        <f>((('基准DCF'!L24*(1+$C$15)/($B$20-$C$15)+'基准DCF'!L17*12.0)/2/(1+$B$20)^5+'基准DCF'!C30*($B$20/$B$20)-'基准DCF'!C34)/1000</f>
        <v/>
      </c>
      <c r="D20" s="83">
        <f>((('基准DCF'!L24*(1+$D$15)/($B$20-$D$15)+'基准DCF'!L17*12.0)/2/(1+$B$20)^5+'基准DCF'!C30*($B$20/$B$20)-'基准DCF'!C34)/1000</f>
        <v/>
      </c>
      <c r="E20" s="83">
        <f>((('基准DCF'!L24*(1+$E$15)/($B$20-$E$15)+'基准DCF'!L17*12.0)/2/(1+$B$20)^5+'基准DCF'!C30*($B$20/$B$20)-'基准DCF'!C34)/1000</f>
        <v/>
      </c>
      <c r="F20" s="84">
        <f>((('基准DCF'!L24*(1+$F$15)/($B$20-$F$15)+'基准DCF'!L17*12.0)/2/(1+$B$20)^5+'基准DCF'!C30*($B$20/$B$20)-'基准DCF'!C34)/1000</f>
        <v/>
      </c>
      <c r="G20" s="83">
        <f>((('基准DCF'!L24*(1+$G$15)/($B$20-$G$15)+'基准DCF'!L17*12.0)/2/(1+$B$20)^5+'基准DCF'!C30*($B$20/$B$20)-'基准DCF'!C34)/1000</f>
        <v/>
      </c>
      <c r="H20" s="83">
        <f>((('基准DCF'!L24*(1+$H$15)/($B$20-$H$15)+'基准DCF'!L17*12.0)/2/(1+$B$20)^5+'基准DCF'!C30*($B$20/$B$20)-'基准DCF'!C34)/1000</f>
        <v/>
      </c>
      <c r="I20" s="83">
        <f>((('基准DCF'!L24*(1+$I$15)/($B$20-$I$15)+'基准DCF'!L17*12.0)/2/(1+$B$20)^5+'基准DCF'!C30*($B$20/$B$20)-'基准DCF'!C34)/1000</f>
        <v/>
      </c>
    </row>
    <row r="21">
      <c r="B21" s="81" t="n">
        <v>0.1276</v>
      </c>
      <c r="C21" s="83">
        <f>((('基准DCF'!L24*(1+$C$15)/($B$21-$C$15)+'基准DCF'!L17*12.0)/2/(1+$B$21)^5+'基准DCF'!C30*($B$20/$B$21)-'基准DCF'!C34)/1000</f>
        <v/>
      </c>
      <c r="D21" s="83">
        <f>((('基准DCF'!L24*(1+$D$15)/($B$21-$D$15)+'基准DCF'!L17*12.0)/2/(1+$B$21)^5+'基准DCF'!C30*($B$20/$B$21)-'基准DCF'!C34)/1000</f>
        <v/>
      </c>
      <c r="E21" s="83">
        <f>((('基准DCF'!L24*(1+$E$15)/($B$21-$E$15)+'基准DCF'!L17*12.0)/2/(1+$B$21)^5+'基准DCF'!C30*($B$20/$B$21)-'基准DCF'!C34)/1000</f>
        <v/>
      </c>
      <c r="F21" s="83">
        <f>((('基准DCF'!L24*(1+$F$15)/($B$21-$F$15)+'基准DCF'!L17*12.0)/2/(1+$B$21)^5+'基准DCF'!C30*($B$20/$B$21)-'基准DCF'!C34)/1000</f>
        <v/>
      </c>
      <c r="G21" s="83">
        <f>((('基准DCF'!L24*(1+$G$15)/($B$21-$G$15)+'基准DCF'!L17*12.0)/2/(1+$B$21)^5+'基准DCF'!C30*($B$20/$B$21)-'基准DCF'!C34)/1000</f>
        <v/>
      </c>
      <c r="H21" s="83">
        <f>((('基准DCF'!L24*(1+$H$15)/($B$21-$H$15)+'基准DCF'!L17*12.0)/2/(1+$B$21)^5+'基准DCF'!C30*($B$20/$B$21)-'基准DCF'!C34)/1000</f>
        <v/>
      </c>
      <c r="I21" s="83">
        <f>((('基准DCF'!L24*(1+$I$15)/($B$21-$I$15)+'基准DCF'!L17*12.0)/2/(1+$B$21)^5+'基准DCF'!C30*($B$20/$B$21)-'基准DCF'!C34)/1000</f>
        <v/>
      </c>
    </row>
    <row r="22">
      <c r="B22" s="81" t="n">
        <v>0.1326</v>
      </c>
      <c r="C22" s="83">
        <f>((('基准DCF'!L24*(1+$C$15)/($B$22-$C$15)+'基准DCF'!L17*12.0)/2/(1+$B$22)^5+'基准DCF'!C30*($B$20/$B$22)-'基准DCF'!C34)/1000</f>
        <v/>
      </c>
      <c r="D22" s="83">
        <f>((('基准DCF'!L24*(1+$D$15)/($B$22-$D$15)+'基准DCF'!L17*12.0)/2/(1+$B$22)^5+'基准DCF'!C30*($B$20/$B$22)-'基准DCF'!C34)/1000</f>
        <v/>
      </c>
      <c r="E22" s="83">
        <f>((('基准DCF'!L24*(1+$E$15)/($B$22-$E$15)+'基准DCF'!L17*12.0)/2/(1+$B$22)^5+'基准DCF'!C30*($B$20/$B$22)-'基准DCF'!C34)/1000</f>
        <v/>
      </c>
      <c r="F22" s="83">
        <f>((('基准DCF'!L24*(1+$F$15)/($B$22-$F$15)+'基准DCF'!L17*12.0)/2/(1+$B$22)^5+'基准DCF'!C30*($B$20/$B$22)-'基准DCF'!C34)/1000</f>
        <v/>
      </c>
      <c r="G22" s="83">
        <f>((('基准DCF'!L24*(1+$G$15)/($B$22-$G$15)+'基准DCF'!L17*12.0)/2/(1+$B$22)^5+'基准DCF'!C30*($B$20/$B$22)-'基准DCF'!C34)/1000</f>
        <v/>
      </c>
      <c r="H22" s="83">
        <f>((('基准DCF'!L24*(1+$H$15)/($B$22-$H$15)+'基准DCF'!L17*12.0)/2/(1+$B$22)^5+'基准DCF'!C30*($B$20/$B$22)-'基准DCF'!C34)/1000</f>
        <v/>
      </c>
      <c r="I22" s="83">
        <f>((('基准DCF'!L24*(1+$I$15)/($B$22-$I$15)+'基准DCF'!L17*12.0)/2/(1+$B$22)^5+'基准DCF'!C30*($B$20/$B$22)-'基准DCF'!C34)/1000</f>
        <v/>
      </c>
    </row>
    <row r="23">
      <c r="B23" s="81" t="n">
        <v>0.1376</v>
      </c>
      <c r="C23" s="83">
        <f>((('基准DCF'!L24*(1+$C$15)/($B$23-$C$15)+'基准DCF'!L17*12.0)/2/(1+$B$23)^5+'基准DCF'!C30*($B$20/$B$23)-'基准DCF'!C34)/1000</f>
        <v/>
      </c>
      <c r="D23" s="83">
        <f>((('基准DCF'!L24*(1+$D$15)/($B$23-$D$15)+'基准DCF'!L17*12.0)/2/(1+$B$23)^5+'基准DCF'!C30*($B$20/$B$23)-'基准DCF'!C34)/1000</f>
        <v/>
      </c>
      <c r="E23" s="83">
        <f>((('基准DCF'!L24*(1+$E$15)/($B$23-$E$15)+'基准DCF'!L17*12.0)/2/(1+$B$23)^5+'基准DCF'!C30*($B$20/$B$23)-'基准DCF'!C34)/1000</f>
        <v/>
      </c>
      <c r="F23" s="83">
        <f>((('基准DCF'!L24*(1+$F$15)/($B$23-$F$15)+'基准DCF'!L17*12.0)/2/(1+$B$23)^5+'基准DCF'!C30*($B$20/$B$23)-'基准DCF'!C34)/1000</f>
        <v/>
      </c>
      <c r="G23" s="83">
        <f>((('基准DCF'!L24*(1+$G$15)/($B$23-$G$15)+'基准DCF'!L17*12.0)/2/(1+$B$23)^5+'基准DCF'!C30*($B$20/$B$23)-'基准DCF'!C34)/1000</f>
        <v/>
      </c>
      <c r="H23" s="83">
        <f>((('基准DCF'!L24*(1+$H$15)/($B$23-$H$15)+'基准DCF'!L17*12.0)/2/(1+$B$23)^5+'基准DCF'!C30*($B$20/$B$23)-'基准DCF'!C34)/1000</f>
        <v/>
      </c>
      <c r="I23" s="83">
        <f>((('基准DCF'!L24*(1+$I$15)/($B$23-$I$15)+'基准DCF'!L17*12.0)/2/(1+$B$23)^5+'基准DCF'!C30*($B$20/$B$23)-'基准DCF'!C34)/1000</f>
        <v/>
      </c>
    </row>
    <row r="24">
      <c r="B24" s="81" t="n">
        <v>0.1426</v>
      </c>
      <c r="C24" s="83">
        <f>((('基准DCF'!L24*(1+$C$15)/($B$24-$C$15)+'基准DCF'!L17*12.0)/2/(1+$B$24)^5+'基准DCF'!C30*($B$20/$B$24)-'基准DCF'!C34)/1000</f>
        <v/>
      </c>
      <c r="D24" s="83">
        <f>((('基准DCF'!L24*(1+$D$15)/($B$24-$D$15)+'基准DCF'!L17*12.0)/2/(1+$B$24)^5+'基准DCF'!C30*($B$20/$B$24)-'基准DCF'!C34)/1000</f>
        <v/>
      </c>
      <c r="E24" s="83">
        <f>((('基准DCF'!L24*(1+$E$15)/($B$24-$E$15)+'基准DCF'!L17*12.0)/2/(1+$B$24)^5+'基准DCF'!C30*($B$20/$B$24)-'基准DCF'!C34)/1000</f>
        <v/>
      </c>
      <c r="F24" s="83">
        <f>((('基准DCF'!L24*(1+$F$15)/($B$24-$F$15)+'基准DCF'!L17*12.0)/2/(1+$B$24)^5+'基准DCF'!C30*($B$20/$B$24)-'基准DCF'!C34)/1000</f>
        <v/>
      </c>
      <c r="G24" s="83">
        <f>((('基准DCF'!L24*(1+$G$15)/($B$24-$G$15)+'基准DCF'!L17*12.0)/2/(1+$B$24)^5+'基准DCF'!C30*($B$20/$B$24)-'基准DCF'!C34)/1000</f>
        <v/>
      </c>
      <c r="H24" s="83">
        <f>((('基准DCF'!L24*(1+$H$15)/($B$24-$H$15)+'基准DCF'!L17*12.0)/2/(1+$B$24)^5+'基准DCF'!C30*($B$20/$B$24)-'基准DCF'!C34)/1000</f>
        <v/>
      </c>
      <c r="I24" s="83">
        <f>((('基准DCF'!L24*(1+$I$15)/($B$24-$I$15)+'基准DCF'!L17*12.0)/2/(1+$B$24)^5+'基准DCF'!C30*($B$20/$B$24)-'基准DCF'!C34)/1000</f>
        <v/>
      </c>
    </row>
    <row r="27">
      <c r="B27" s="79" t="inlineStr">
        <is>
          <t>WACC × 退出倍数 → 企业价值</t>
        </is>
      </c>
    </row>
    <row r="28">
      <c r="B28" s="14" t="inlineStr">
        <is>
          <t>WACC \ 退出倍数</t>
        </is>
      </c>
      <c r="C28" s="85" t="n">
        <v>8</v>
      </c>
      <c r="D28" s="85" t="n">
        <v>10</v>
      </c>
      <c r="E28" s="85" t="n">
        <v>12</v>
      </c>
      <c r="F28" s="85" t="n">
        <v>14</v>
      </c>
      <c r="G28" s="85" t="n">
        <v>16</v>
      </c>
    </row>
    <row r="29">
      <c r="B29" s="81" t="n">
        <v>0.1026</v>
      </c>
      <c r="C29" s="57">
        <f>('基准DCF'!L24*(1+0.03)/($B$29-0.03)+'基准DCF'!L17*$C$28)/2/(1+$B$29)^5+'基准DCF'!C30*($B$33/$B$29)</f>
        <v/>
      </c>
      <c r="D29" s="57">
        <f>('基准DCF'!L24*(1+0.03)/($B$29-0.03)+'基准DCF'!L17*$D$28)/2/(1+$B$29)^5+'基准DCF'!C30*($B$33/$B$29)</f>
        <v/>
      </c>
      <c r="E29" s="57">
        <f>('基准DCF'!L24*(1+0.03)/($B$29-0.03)+'基准DCF'!L17*$E$28)/2/(1+$B$29)^5+'基准DCF'!C30*($B$33/$B$29)</f>
        <v/>
      </c>
      <c r="F29" s="57">
        <f>('基准DCF'!L24*(1+0.03)/($B$29-0.03)+'基准DCF'!L17*$F$28)/2/(1+$B$29)^5+'基准DCF'!C30*($B$33/$B$29)</f>
        <v/>
      </c>
      <c r="G29" s="57">
        <f>('基准DCF'!L24*(1+0.03)/($B$29-0.03)+'基准DCF'!L17*$G$28)/2/(1+$B$29)^5+'基准DCF'!C30*($B$33/$B$29)</f>
        <v/>
      </c>
    </row>
    <row r="30">
      <c r="B30" s="81" t="n">
        <v>0.1076</v>
      </c>
      <c r="C30" s="57">
        <f>('基准DCF'!L24*(1+0.03)/($B$30-0.03)+'基准DCF'!L17*$C$28)/2/(1+$B$30)^5+'基准DCF'!C30*($B$33/$B$30)</f>
        <v/>
      </c>
      <c r="D30" s="57">
        <f>('基准DCF'!L24*(1+0.03)/($B$30-0.03)+'基准DCF'!L17*$D$28)/2/(1+$B$30)^5+'基准DCF'!C30*($B$33/$B$30)</f>
        <v/>
      </c>
      <c r="E30" s="57">
        <f>('基准DCF'!L24*(1+0.03)/($B$30-0.03)+'基准DCF'!L17*$E$28)/2/(1+$B$30)^5+'基准DCF'!C30*($B$33/$B$30)</f>
        <v/>
      </c>
      <c r="F30" s="57">
        <f>('基准DCF'!L24*(1+0.03)/($B$30-0.03)+'基准DCF'!L17*$F$28)/2/(1+$B$30)^5+'基准DCF'!C30*($B$33/$B$30)</f>
        <v/>
      </c>
      <c r="G30" s="57">
        <f>('基准DCF'!L24*(1+0.03)/($B$30-0.03)+'基准DCF'!L17*$G$28)/2/(1+$B$30)^5+'基准DCF'!C30*($B$33/$B$30)</f>
        <v/>
      </c>
    </row>
    <row r="31">
      <c r="B31" s="81" t="n">
        <v>0.1126</v>
      </c>
      <c r="C31" s="57">
        <f>('基准DCF'!L24*(1+0.03)/($B$31-0.03)+'基准DCF'!L17*$C$28)/2/(1+$B$31)^5+'基准DCF'!C30*($B$33/$B$31)</f>
        <v/>
      </c>
      <c r="D31" s="57">
        <f>('基准DCF'!L24*(1+0.03)/($B$31-0.03)+'基准DCF'!L17*$D$28)/2/(1+$B$31)^5+'基准DCF'!C30*($B$33/$B$31)</f>
        <v/>
      </c>
      <c r="E31" s="57">
        <f>('基准DCF'!L24*(1+0.03)/($B$31-0.03)+'基准DCF'!L17*$E$28)/2/(1+$B$31)^5+'基准DCF'!C30*($B$33/$B$31)</f>
        <v/>
      </c>
      <c r="F31" s="57">
        <f>('基准DCF'!L24*(1+0.03)/($B$31-0.03)+'基准DCF'!L17*$F$28)/2/(1+$B$31)^5+'基准DCF'!C30*($B$33/$B$31)</f>
        <v/>
      </c>
      <c r="G31" s="57">
        <f>('基准DCF'!L24*(1+0.03)/($B$31-0.03)+'基准DCF'!L17*$G$28)/2/(1+$B$31)^5+'基准DCF'!C30*($B$33/$B$31)</f>
        <v/>
      </c>
    </row>
    <row r="32">
      <c r="B32" s="81" t="n">
        <v>0.1176</v>
      </c>
      <c r="C32" s="57">
        <f>('基准DCF'!L24*(1+0.03)/($B$32-0.03)+'基准DCF'!L17*$C$28)/2/(1+$B$32)^5+'基准DCF'!C30*($B$33/$B$32)</f>
        <v/>
      </c>
      <c r="D32" s="57">
        <f>('基准DCF'!L24*(1+0.03)/($B$32-0.03)+'基准DCF'!L17*$D$28)/2/(1+$B$32)^5+'基准DCF'!C30*($B$33/$B$32)</f>
        <v/>
      </c>
      <c r="E32" s="57">
        <f>('基准DCF'!L24*(1+0.03)/($B$32-0.03)+'基准DCF'!L17*$E$28)/2/(1+$B$32)^5+'基准DCF'!C30*($B$33/$B$32)</f>
        <v/>
      </c>
      <c r="F32" s="57">
        <f>('基准DCF'!L24*(1+0.03)/($B$32-0.03)+'基准DCF'!L17*$F$28)/2/(1+$B$32)^5+'基准DCF'!C30*($B$33/$B$32)</f>
        <v/>
      </c>
      <c r="G32" s="57">
        <f>('基准DCF'!L24*(1+0.03)/($B$32-0.03)+'基准DCF'!L17*$G$28)/2/(1+$B$32)^5+'基准DCF'!C30*($B$33/$B$32)</f>
        <v/>
      </c>
    </row>
    <row r="33">
      <c r="B33" s="81" t="n">
        <v>0.1226</v>
      </c>
      <c r="C33" s="57">
        <f>('基准DCF'!L24*(1+0.03)/($B$33-0.03)+'基准DCF'!L17*$C$28)/2/(1+$B$33)^5+'基准DCF'!C30*($B$33/$B$33)</f>
        <v/>
      </c>
      <c r="D33" s="57">
        <f>('基准DCF'!L24*(1+0.03)/($B$33-0.03)+'基准DCF'!L17*$D$28)/2/(1+$B$33)^5+'基准DCF'!C30*($B$33/$B$33)</f>
        <v/>
      </c>
      <c r="E33" s="82">
        <f>('基准DCF'!L24*(1+0.03)/($B$33-0.03)+'基准DCF'!L17*$E$28)/2/(1+$B$33)^5+'基准DCF'!C30*($B$33/$B$33)</f>
        <v/>
      </c>
      <c r="F33" s="57">
        <f>('基准DCF'!L24*(1+0.03)/($B$33-0.03)+'基准DCF'!L17*$F$28)/2/(1+$B$33)^5+'基准DCF'!C30*($B$33/$B$33)</f>
        <v/>
      </c>
      <c r="G33" s="57">
        <f>('基准DCF'!L24*(1+0.03)/($B$33-0.03)+'基准DCF'!L17*$G$28)/2/(1+$B$33)^5+'基准DCF'!C30*($B$33/$B$33)</f>
        <v/>
      </c>
    </row>
    <row r="34">
      <c r="B34" s="81" t="n">
        <v>0.1276</v>
      </c>
      <c r="C34" s="57">
        <f>('基准DCF'!L24*(1+0.03)/($B$34-0.03)+'基准DCF'!L17*$C$28)/2/(1+$B$34)^5+'基准DCF'!C30*($B$33/$B$34)</f>
        <v/>
      </c>
      <c r="D34" s="57">
        <f>('基准DCF'!L24*(1+0.03)/($B$34-0.03)+'基准DCF'!L17*$D$28)/2/(1+$B$34)^5+'基准DCF'!C30*($B$33/$B$34)</f>
        <v/>
      </c>
      <c r="E34" s="57">
        <f>('基准DCF'!L24*(1+0.03)/($B$34-0.03)+'基准DCF'!L17*$E$28)/2/(1+$B$34)^5+'基准DCF'!C30*($B$33/$B$34)</f>
        <v/>
      </c>
      <c r="F34" s="57">
        <f>('基准DCF'!L24*(1+0.03)/($B$34-0.03)+'基准DCF'!L17*$F$28)/2/(1+$B$34)^5+'基准DCF'!C30*($B$33/$B$34)</f>
        <v/>
      </c>
      <c r="G34" s="57">
        <f>('基准DCF'!L24*(1+0.03)/($B$34-0.03)+'基准DCF'!L17*$G$28)/2/(1+$B$34)^5+'基准DCF'!C30*($B$33/$B$34)</f>
        <v/>
      </c>
    </row>
    <row r="35">
      <c r="B35" s="81" t="n">
        <v>0.1326</v>
      </c>
      <c r="C35" s="57">
        <f>('基准DCF'!L24*(1+0.03)/($B$35-0.03)+'基准DCF'!L17*$C$28)/2/(1+$B$35)^5+'基准DCF'!C30*($B$33/$B$35)</f>
        <v/>
      </c>
      <c r="D35" s="57">
        <f>('基准DCF'!L24*(1+0.03)/($B$35-0.03)+'基准DCF'!L17*$D$28)/2/(1+$B$35)^5+'基准DCF'!C30*($B$33/$B$35)</f>
        <v/>
      </c>
      <c r="E35" s="57">
        <f>('基准DCF'!L24*(1+0.03)/($B$35-0.03)+'基准DCF'!L17*$E$28)/2/(1+$B$35)^5+'基准DCF'!C30*($B$33/$B$35)</f>
        <v/>
      </c>
      <c r="F35" s="57">
        <f>('基准DCF'!L24*(1+0.03)/($B$35-0.03)+'基准DCF'!L17*$F$28)/2/(1+$B$35)^5+'基准DCF'!C30*($B$33/$B$35)</f>
        <v/>
      </c>
      <c r="G35" s="57">
        <f>('基准DCF'!L24*(1+0.03)/($B$35-0.03)+'基准DCF'!L17*$G$28)/2/(1+$B$35)^5+'基准DCF'!C30*($B$33/$B$35)</f>
        <v/>
      </c>
    </row>
    <row r="36">
      <c r="B36" s="81" t="n">
        <v>0.1376</v>
      </c>
      <c r="C36" s="57">
        <f>('基准DCF'!L24*(1+0.03)/($B$36-0.03)+'基准DCF'!L17*$C$28)/2/(1+$B$36)^5+'基准DCF'!C30*($B$33/$B$36)</f>
        <v/>
      </c>
      <c r="D36" s="57">
        <f>('基准DCF'!L24*(1+0.03)/($B$36-0.03)+'基准DCF'!L17*$D$28)/2/(1+$B$36)^5+'基准DCF'!C30*($B$33/$B$36)</f>
        <v/>
      </c>
      <c r="E36" s="57">
        <f>('基准DCF'!L24*(1+0.03)/($B$36-0.03)+'基准DCF'!L17*$E$28)/2/(1+$B$36)^5+'基准DCF'!C30*($B$33/$B$36)</f>
        <v/>
      </c>
      <c r="F36" s="57">
        <f>('基准DCF'!L24*(1+0.03)/($B$36-0.03)+'基准DCF'!L17*$F$28)/2/(1+$B$36)^5+'基准DCF'!C30*($B$33/$B$36)</f>
        <v/>
      </c>
      <c r="G36" s="57">
        <f>('基准DCF'!L24*(1+0.03)/($B$36-0.03)+'基准DCF'!L17*$G$28)/2/(1+$B$36)^5+'基准DCF'!C30*($B$33/$B$36)</f>
        <v/>
      </c>
    </row>
    <row r="37">
      <c r="B37" s="81" t="n">
        <v>0.1426</v>
      </c>
      <c r="C37" s="57">
        <f>('基准DCF'!L24*(1+0.03)/($B$37-0.03)+'基准DCF'!L17*$C$28)/2/(1+$B$37)^5+'基准DCF'!C30*($B$33/$B$37)</f>
        <v/>
      </c>
      <c r="D37" s="57">
        <f>('基准DCF'!L24*(1+0.03)/($B$37-0.03)+'基准DCF'!L17*$D$28)/2/(1+$B$37)^5+'基准DCF'!C30*($B$33/$B$37)</f>
        <v/>
      </c>
      <c r="E37" s="57">
        <f>('基准DCF'!L24*(1+0.03)/($B$37-0.03)+'基准DCF'!L17*$E$28)/2/(1+$B$37)^5+'基准DCF'!C30*($B$33/$B$37)</f>
        <v/>
      </c>
      <c r="F37" s="57">
        <f>('基准DCF'!L24*(1+0.03)/($B$37-0.03)+'基准DCF'!L17*$F$28)/2/(1+$B$37)^5+'基准DCF'!C30*($B$33/$B$37)</f>
        <v/>
      </c>
      <c r="G37" s="57">
        <f>('基准DCF'!L24*(1+0.03)/($B$37-0.03)+'基准DCF'!L17*$G$28)/2/(1+$B$37)^5+'基准DCF'!C30*($B$33/$B$37)</f>
        <v/>
      </c>
    </row>
    <row r="40">
      <c r="B40" s="79" t="inlineStr">
        <is>
          <t>情景对比汇总</t>
        </is>
      </c>
    </row>
    <row r="41">
      <c r="B41" s="14" t="inlineStr">
        <is>
          <t>关键假设</t>
        </is>
      </c>
      <c r="C41" s="14" t="inlineStr">
        <is>
          <t>熊市情景</t>
        </is>
      </c>
      <c r="D41" s="14" t="inlineStr">
        <is>
          <t>基准情景</t>
        </is>
      </c>
      <c r="E41" s="14" t="inlineStr">
        <is>
          <t>牛市情景</t>
        </is>
      </c>
    </row>
    <row r="42">
      <c r="B42" s="27" t="inlineStr">
        <is>
          <t>收入CAGR</t>
        </is>
      </c>
      <c r="C42" s="86">
        <f>'熊市DCF'!C48</f>
        <v/>
      </c>
      <c r="D42" s="87">
        <f>'基准DCF'!C48</f>
        <v/>
      </c>
      <c r="E42" s="88">
        <f>'牛市DCF'!C48</f>
        <v/>
      </c>
    </row>
    <row r="43">
      <c r="B43" s="27" t="inlineStr">
        <is>
          <t>WACC</t>
        </is>
      </c>
      <c r="C43" s="89">
        <f>'熊市DCF'!C35</f>
        <v/>
      </c>
      <c r="D43" s="90">
        <f>'基准DCF'!C35</f>
        <v/>
      </c>
      <c r="E43" s="91">
        <f>'牛市DCF'!C35</f>
        <v/>
      </c>
    </row>
    <row r="44">
      <c r="B44" s="27" t="inlineStr">
        <is>
          <t>终值增长率</t>
        </is>
      </c>
      <c r="C44" s="86">
        <f>'熊市DCF'!C31</f>
        <v/>
      </c>
      <c r="D44" s="87">
        <f>'基准DCF'!C31</f>
        <v/>
      </c>
      <c r="E44" s="88">
        <f>'牛市DCF'!C31</f>
        <v/>
      </c>
    </row>
    <row r="45">
      <c r="B45" s="27" t="inlineStr">
        <is>
          <t>退出倍数</t>
        </is>
      </c>
      <c r="C45" s="92">
        <f>'熊市DCF'!C32</f>
        <v/>
      </c>
      <c r="D45" s="93">
        <f>'基准DCF'!C32</f>
        <v/>
      </c>
      <c r="E45" s="94">
        <f>'牛市DCF'!C32</f>
        <v/>
      </c>
    </row>
    <row r="46">
      <c r="B46" s="27" t="inlineStr">
        <is>
          <t>企业价值</t>
        </is>
      </c>
      <c r="C46" s="95">
        <f>'熊市DCF'!C43</f>
        <v/>
      </c>
      <c r="D46" s="96">
        <f>'基准DCF'!C43</f>
        <v/>
      </c>
      <c r="E46" s="97">
        <f>'牛市DCF'!C43</f>
        <v/>
      </c>
    </row>
    <row r="47">
      <c r="B47" s="27" t="inlineStr">
        <is>
          <t>股权价值</t>
        </is>
      </c>
      <c r="C47" s="95">
        <f>'熊市DCF'!C44</f>
        <v/>
      </c>
      <c r="D47" s="96">
        <f>'基准DCF'!C44</f>
        <v/>
      </c>
      <c r="E47" s="97">
        <f>'牛市DCF'!C44</f>
        <v/>
      </c>
    </row>
    <row r="48">
      <c r="B48" s="27" t="inlineStr">
        <is>
          <t>每股价值</t>
        </is>
      </c>
      <c r="C48" s="98">
        <f>'熊市DCF'!C45</f>
        <v/>
      </c>
      <c r="D48" s="99">
        <f>'基准DCF'!C45</f>
        <v/>
      </c>
      <c r="E48" s="100">
        <f>'牛市DCF'!C45</f>
        <v/>
      </c>
    </row>
    <row r="49">
      <c r="B49" s="27" t="inlineStr">
        <is>
          <t>隐含EV/Revenue</t>
        </is>
      </c>
      <c r="C49" s="92">
        <f>'熊市DCF'!C46</f>
        <v/>
      </c>
      <c r="D49" s="93">
        <f>'基准DCF'!C46</f>
        <v/>
      </c>
      <c r="E49" s="94">
        <f>'牛市DCF'!C46</f>
        <v/>
      </c>
    </row>
    <row r="50">
      <c r="B50" s="27" t="inlineStr">
        <is>
          <t>隐含EV/EBITDA</t>
        </is>
      </c>
      <c r="C50" s="92">
        <f>'熊市DCF'!C47</f>
        <v/>
      </c>
      <c r="D50" s="93">
        <f>'基准DCF'!C47</f>
        <v/>
      </c>
      <c r="E50" s="94">
        <f>'牛市DCF'!C47</f>
        <v/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tabColor rgb="00BF8F00"/>
    <outlinePr summaryBelow="1" summaryRight="1"/>
    <pageSetUpPr/>
  </sheetPr>
  <dimension ref="B1:H20"/>
  <sheetViews>
    <sheetView workbookViewId="0">
      <selection activeCell="A1" sqref="A1"/>
    </sheetView>
  </sheetViews>
  <sheetFormatPr baseColWidth="8" defaultRowHeight="15"/>
  <cols>
    <col width="2" customWidth="1" min="1" max="1"/>
    <col width="22" customWidth="1" min="2" max="2"/>
    <col width="16" customWidth="1" min="3" max="3"/>
    <col width="16" customWidth="1" min="4" max="4"/>
    <col width="16" customWidth="1" min="5" max="5"/>
    <col width="12" customWidth="1" min="6" max="6"/>
    <col width="18" customWidth="1" min="7" max="7"/>
    <col width="22" customWidth="1" min="8" max="8"/>
    <col width="3" customWidth="1" min="9" max="9"/>
  </cols>
  <sheetData>
    <row r="1">
      <c r="B1" s="30" t="inlineStr">
        <is>
          <t>分部估值 / SOTP Valuation</t>
        </is>
      </c>
    </row>
    <row r="2">
      <c r="B2" s="101" t="inlineStr">
        <is>
          <t>$M</t>
        </is>
      </c>
    </row>
    <row r="4">
      <c r="B4" s="14" t="inlineStr">
        <is>
          <t>业务板块</t>
        </is>
      </c>
      <c r="C4" s="14" t="inlineStr">
        <is>
          <t>LTM收入</t>
        </is>
      </c>
      <c r="D4" s="14" t="inlineStr">
        <is>
          <t>LTM EBITDA</t>
        </is>
      </c>
      <c r="E4" s="14" t="inlineStr">
        <is>
          <t>估值方法</t>
        </is>
      </c>
      <c r="F4" s="14" t="inlineStr">
        <is>
          <t>估值倍数</t>
        </is>
      </c>
      <c r="G4" s="14" t="inlineStr">
        <is>
          <t>企业价值EV</t>
        </is>
      </c>
      <c r="H4" s="14" t="inlineStr">
        <is>
          <t>备注</t>
        </is>
      </c>
    </row>
    <row r="5">
      <c r="B5" s="8" t="inlineStr">
        <is>
          <t>Tesla Auto</t>
        </is>
      </c>
      <c r="C5" s="102" t="n">
        <v>77000</v>
      </c>
      <c r="D5" s="102" t="n">
        <v>15400</v>
      </c>
      <c r="E5" s="103" t="inlineStr">
        <is>
          <t>EV/EBITDA</t>
        </is>
      </c>
      <c r="F5" s="104" t="n">
        <v>8</v>
      </c>
      <c r="G5" s="105">
        <f>D5*F5</f>
        <v/>
      </c>
      <c r="H5" s="9" t="inlineStr">
        <is>
          <t>Comparable median</t>
        </is>
      </c>
    </row>
    <row r="6">
      <c r="B6" s="11" t="inlineStr">
        <is>
          <t>SpaceX Launch</t>
        </is>
      </c>
      <c r="C6" s="106" t="n">
        <v>10000</v>
      </c>
      <c r="D6" s="106" t="n">
        <v>2000</v>
      </c>
      <c r="E6" s="107" t="inlineStr">
        <is>
          <t>EV/Revenue</t>
        </is>
      </c>
      <c r="F6" s="108" t="n">
        <v>15</v>
      </c>
      <c r="G6" s="109">
        <f>C6*F6</f>
        <v/>
      </c>
      <c r="H6" s="12" t="inlineStr">
        <is>
          <t>Industry avg</t>
        </is>
      </c>
    </row>
    <row r="7">
      <c r="B7" s="8" t="inlineStr">
        <is>
          <t>Starlink</t>
        </is>
      </c>
      <c r="C7" s="102" t="n">
        <v>4200</v>
      </c>
      <c r="D7" s="102" t="n">
        <v>840</v>
      </c>
      <c r="E7" s="103" t="inlineStr">
        <is>
          <t>EV/Revenue</t>
        </is>
      </c>
      <c r="F7" s="104" t="n">
        <v>12</v>
      </c>
      <c r="G7" s="105">
        <f>C7*F7</f>
        <v/>
      </c>
      <c r="H7" s="9" t="inlineStr">
        <is>
          <t>Satellite comp median</t>
        </is>
      </c>
    </row>
    <row r="8">
      <c r="B8" s="11" t="inlineStr">
        <is>
          <t>Energy &amp; Storage</t>
        </is>
      </c>
      <c r="C8" s="106" t="n">
        <v>6500</v>
      </c>
      <c r="D8" s="106" t="n">
        <v>1300</v>
      </c>
      <c r="E8" s="107" t="inlineStr">
        <is>
          <t>EV/EBITDA</t>
        </is>
      </c>
      <c r="F8" s="108" t="n">
        <v>6</v>
      </c>
      <c r="G8" s="109">
        <f>D8*F8</f>
        <v/>
      </c>
      <c r="H8" s="12" t="inlineStr">
        <is>
          <t>Clean energy median</t>
        </is>
      </c>
    </row>
    <row r="9">
      <c r="B9" s="8" t="inlineStr">
        <is>
          <t>X (Social Media)</t>
        </is>
      </c>
      <c r="C9" s="102" t="n">
        <v>3000</v>
      </c>
      <c r="D9" s="102" t="n">
        <v>600</v>
      </c>
      <c r="E9" s="103" t="inlineStr">
        <is>
          <t>EV/Revenue</t>
        </is>
      </c>
      <c r="F9" s="104" t="n">
        <v>5</v>
      </c>
      <c r="G9" s="105">
        <f>C9*F9</f>
        <v/>
      </c>
      <c r="H9" s="9" t="inlineStr">
        <is>
          <t>Social media avg</t>
        </is>
      </c>
    </row>
    <row r="10">
      <c r="B10" s="11" t="inlineStr">
        <is>
          <t>Financial Services</t>
        </is>
      </c>
      <c r="C10" s="106" t="n">
        <v>5000</v>
      </c>
      <c r="D10" s="106" t="n">
        <v>1250</v>
      </c>
      <c r="E10" s="107" t="inlineStr">
        <is>
          <t>EV/EBITDA</t>
        </is>
      </c>
      <c r="F10" s="108" t="n">
        <v>4</v>
      </c>
      <c r="G10" s="109">
        <f>D10*F10</f>
        <v/>
      </c>
      <c r="H10" s="12" t="inlineStr">
        <is>
          <t>Fintech median</t>
        </is>
      </c>
    </row>
    <row r="11">
      <c r="B11" s="8" t="inlineStr">
        <is>
          <t>Robotics (Optimus)</t>
        </is>
      </c>
      <c r="C11" s="102" t="n">
        <v>1500</v>
      </c>
      <c r="D11" s="102" t="n">
        <v>225</v>
      </c>
      <c r="E11" s="103" t="inlineStr">
        <is>
          <t>EV/Revenue</t>
        </is>
      </c>
      <c r="F11" s="104" t="n">
        <v>20</v>
      </c>
      <c r="G11" s="105">
        <f>C11*F11</f>
        <v/>
      </c>
      <c r="H11" s="9" t="inlineStr">
        <is>
          <t>Growth premium</t>
        </is>
      </c>
    </row>
    <row r="12">
      <c r="B12" s="11" t="inlineStr">
        <is>
          <t>Neural Interface</t>
        </is>
      </c>
      <c r="C12" s="106" t="n">
        <v>800</v>
      </c>
      <c r="D12" s="106" t="n">
        <v>80</v>
      </c>
      <c r="E12" s="107" t="inlineStr">
        <is>
          <t>EV/Revenue</t>
        </is>
      </c>
      <c r="F12" s="108" t="n">
        <v>25</v>
      </c>
      <c r="G12" s="109">
        <f>C12*F12</f>
        <v/>
      </c>
      <c r="H12" s="12" t="inlineStr">
        <is>
          <t>Biotech premium</t>
        </is>
      </c>
    </row>
    <row r="13">
      <c r="B13" s="8" t="inlineStr">
        <is>
          <t>Underground Transport</t>
        </is>
      </c>
      <c r="C13" s="102" t="n">
        <v>500</v>
      </c>
      <c r="D13" s="102" t="n">
        <v>100</v>
      </c>
      <c r="E13" s="103" t="inlineStr">
        <is>
          <t>EV/EBITDA</t>
        </is>
      </c>
      <c r="F13" s="104" t="n">
        <v>8</v>
      </c>
      <c r="G13" s="105">
        <f>D13*F13</f>
        <v/>
      </c>
      <c r="H13" s="9" t="inlineStr">
        <is>
          <t>Infra median</t>
        </is>
      </c>
    </row>
    <row r="14"/>
    <row r="15">
      <c r="B15" s="49" t="inlineStr">
        <is>
          <t>合计企业价值</t>
        </is>
      </c>
      <c r="C15" s="46" t="n"/>
      <c r="D15" s="46" t="n"/>
      <c r="E15" s="46" t="n"/>
      <c r="F15" s="46" t="n"/>
      <c r="G15" s="59">
        <f>SUM(G5:G13)</f>
        <v/>
      </c>
      <c r="H15" s="46" t="n"/>
    </row>
    <row r="16">
      <c r="B16" s="49" t="inlineStr">
        <is>
          <t>减：净债务</t>
        </is>
      </c>
      <c r="C16" s="46" t="n"/>
      <c r="D16" s="46" t="n"/>
      <c r="E16" s="46" t="n"/>
      <c r="F16" s="46" t="n"/>
      <c r="G16" s="59" t="n">
        <v>-28000</v>
      </c>
      <c r="H16" s="46" t="n"/>
    </row>
    <row r="17">
      <c r="B17" s="49" t="inlineStr">
        <is>
          <t>减：少数股东权益</t>
        </is>
      </c>
      <c r="C17" s="46" t="n"/>
      <c r="D17" s="46" t="n"/>
      <c r="E17" s="46" t="n"/>
      <c r="F17" s="46" t="n"/>
      <c r="G17" s="59" t="n">
        <v>0</v>
      </c>
      <c r="H17" s="46" t="n"/>
    </row>
    <row r="18">
      <c r="B18" s="110" t="inlineStr">
        <is>
          <t>股权价值</t>
        </is>
      </c>
      <c r="C18" s="46" t="n"/>
      <c r="D18" s="46" t="n"/>
      <c r="E18" s="46" t="n"/>
      <c r="F18" s="46" t="n"/>
      <c r="G18" s="111">
        <f>G15-G16-G17</f>
        <v/>
      </c>
      <c r="H18" s="46" t="n"/>
    </row>
    <row r="19">
      <c r="B19" s="8" t="inlineStr">
        <is>
          <t>流通股本（百万）</t>
        </is>
      </c>
      <c r="C19" s="46" t="n"/>
      <c r="D19" s="46" t="n"/>
      <c r="E19" s="46" t="n"/>
      <c r="F19" s="46" t="n"/>
      <c r="G19" s="36" t="n">
        <v>3200</v>
      </c>
      <c r="H19" s="46" t="n"/>
    </row>
    <row r="20">
      <c r="B20" s="112" t="inlineStr">
        <is>
          <t>每股价值</t>
        </is>
      </c>
      <c r="C20" s="46" t="n"/>
      <c r="D20" s="46" t="n"/>
      <c r="E20" s="46" t="n"/>
      <c r="F20" s="46" t="n"/>
      <c r="G20" s="113">
        <f>G18/G19</f>
        <v/>
      </c>
      <c r="H20" s="46" t="n"/>
    </row>
  </sheetData>
  <pageMargins left="0.75" right="0.75" top="1" bottom="1" header="0.5" footer="0.5"/>
  <pageSetup orientation="landscape" fitToHeight="0" fitToWidth="1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tabColor rgb="0070AD47"/>
    <outlinePr summaryBelow="1" summaryRight="1"/>
    <pageSetUpPr/>
  </sheetPr>
  <dimension ref="B1:K23"/>
  <sheetViews>
    <sheetView workbookViewId="0">
      <selection activeCell="A1" sqref="A1"/>
    </sheetView>
  </sheetViews>
  <sheetFormatPr baseColWidth="8" defaultRowHeight="15"/>
  <cols>
    <col width="2" customWidth="1" min="1" max="1"/>
    <col width="24" customWidth="1" min="2" max="2"/>
    <col width="10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2" customWidth="1" min="10" max="10"/>
    <col width="20" customWidth="1" min="11" max="11"/>
  </cols>
  <sheetData>
    <row r="1">
      <c r="B1" s="30" t="inlineStr">
        <is>
          <t>可比公司分析</t>
        </is>
      </c>
    </row>
    <row r="2">
      <c r="B2" s="114" t="inlineStr">
        <is>
          <t>美股</t>
        </is>
      </c>
      <c r="C2" s="31" t="n"/>
      <c r="D2" s="31" t="n"/>
      <c r="E2" s="31" t="n"/>
      <c r="F2" s="31" t="n"/>
      <c r="G2" s="31" t="n"/>
      <c r="H2" s="31" t="n"/>
      <c r="I2" s="31" t="n"/>
      <c r="J2" s="31" t="n"/>
      <c r="K2" s="32" t="n"/>
    </row>
    <row r="3">
      <c r="B3" s="14" t="inlineStr">
        <is>
          <t>公司名称</t>
        </is>
      </c>
      <c r="C3" s="14" t="inlineStr">
        <is>
          <t>代码</t>
        </is>
      </c>
      <c r="D3" s="14" t="inlineStr">
        <is>
          <t>市值</t>
        </is>
      </c>
      <c r="E3" s="14" t="inlineStr">
        <is>
          <t>企业价值</t>
        </is>
      </c>
      <c r="F3" s="14" t="inlineStr">
        <is>
          <t>EV/Revenue LTM</t>
        </is>
      </c>
      <c r="G3" s="14" t="inlineStr">
        <is>
          <t>EV/Revenue NTM</t>
        </is>
      </c>
      <c r="H3" s="14" t="inlineStr">
        <is>
          <t>EV/EBITDA LTM</t>
        </is>
      </c>
      <c r="I3" s="14" t="inlineStr">
        <is>
          <t>EV/EBITDA NTM</t>
        </is>
      </c>
      <c r="J3" s="14" t="inlineStr">
        <is>
          <t>3Y CAGR</t>
        </is>
      </c>
      <c r="K3" s="14" t="inlineStr">
        <is>
          <t>备注</t>
        </is>
      </c>
    </row>
    <row r="4">
      <c r="B4" s="8" t="inlineStr">
        <is>
          <t>Tesla</t>
        </is>
      </c>
      <c r="C4" s="8" t="inlineStr">
        <is>
          <t>TSLA</t>
        </is>
      </c>
      <c r="D4" s="102" t="n">
        <v>800000</v>
      </c>
      <c r="E4" s="102" t="n">
        <v>750000</v>
      </c>
      <c r="F4" s="115" t="n">
        <v>5.2</v>
      </c>
      <c r="G4" s="115" t="n">
        <v>4.8</v>
      </c>
      <c r="H4" s="115" t="n">
        <v>25</v>
      </c>
      <c r="I4" s="115" t="n">
        <v>20</v>
      </c>
      <c r="J4" s="116" t="n">
        <v>0.35</v>
      </c>
      <c r="K4" s="8" t="inlineStr">
        <is>
          <t>Closest comp</t>
        </is>
      </c>
    </row>
    <row r="5">
      <c r="B5" s="11" t="inlineStr">
        <is>
          <t>Apple</t>
        </is>
      </c>
      <c r="C5" s="11" t="inlineStr">
        <is>
          <t>AAPL</t>
        </is>
      </c>
      <c r="D5" s="106" t="n">
        <v>3500000</v>
      </c>
      <c r="E5" s="106" t="n">
        <v>3300000</v>
      </c>
      <c r="F5" s="117" t="n">
        <v>8</v>
      </c>
      <c r="G5" s="117" t="n">
        <v>7.5</v>
      </c>
      <c r="H5" s="117" t="n">
        <v>22</v>
      </c>
      <c r="I5" s="117" t="n">
        <v>20</v>
      </c>
      <c r="J5" s="118" t="n">
        <v>0.08</v>
      </c>
      <c r="K5" s="11" t="inlineStr">
        <is>
          <t>Tech ecosystem</t>
        </is>
      </c>
    </row>
    <row r="6">
      <c r="B6" s="8" t="inlineStr">
        <is>
          <t>Rivian</t>
        </is>
      </c>
      <c r="C6" s="8" t="inlineStr">
        <is>
          <t>RIVN</t>
        </is>
      </c>
      <c r="D6" s="102" t="n">
        <v>120000</v>
      </c>
      <c r="E6" s="102" t="n">
        <v>140000</v>
      </c>
      <c r="F6" s="115" t="n">
        <v>8.5</v>
      </c>
      <c r="G6" s="115" t="n">
        <v>5.2</v>
      </c>
      <c r="H6" s="115" t="n">
        <v>-25</v>
      </c>
      <c r="I6" s="115" t="n">
        <v>-15</v>
      </c>
      <c r="J6" s="116" t="n">
        <v>0.55</v>
      </c>
      <c r="K6" s="8" t="inlineStr">
        <is>
          <t>Pre-profit</t>
        </is>
      </c>
    </row>
    <row r="7">
      <c r="B7" s="11" t="inlineStr">
        <is>
          <t>XPeng</t>
        </is>
      </c>
      <c r="C7" s="11" t="inlineStr">
        <is>
          <t>XPEV</t>
        </is>
      </c>
      <c r="D7" s="106" t="n">
        <v>80000</v>
      </c>
      <c r="E7" s="106" t="n">
        <v>95000</v>
      </c>
      <c r="F7" s="117" t="n">
        <v>3</v>
      </c>
      <c r="G7" s="117" t="n">
        <v>2.2</v>
      </c>
      <c r="H7" s="117" t="n">
        <v>-12</v>
      </c>
      <c r="I7" s="117" t="n">
        <v>-6</v>
      </c>
      <c r="J7" s="118" t="n">
        <v>0.28</v>
      </c>
      <c r="K7" s="11" t="inlineStr">
        <is>
          <t>Tech-focused</t>
        </is>
      </c>
    </row>
    <row r="8">
      <c r="B8" s="49" t="inlineStr">
        <is>
          <t xml:space="preserve">  分组中位数 (美股)</t>
        </is>
      </c>
      <c r="C8" s="119">
        <f>MEDIAN(C4:C7)</f>
        <v/>
      </c>
      <c r="D8" s="119">
        <f>MEDIAN(D4:D7)</f>
        <v/>
      </c>
      <c r="E8" s="119">
        <f>MEDIAN(E4:E7)</f>
        <v/>
      </c>
      <c r="F8" s="119">
        <f>MEDIAN(F4:F7)</f>
        <v/>
      </c>
      <c r="G8" s="119">
        <f>MEDIAN(G4:G7)</f>
        <v/>
      </c>
      <c r="H8" s="119">
        <f>MEDIAN(H4:H7)</f>
        <v/>
      </c>
      <c r="I8" s="119">
        <f>MEDIAN(I4:I7)</f>
        <v/>
      </c>
      <c r="J8" s="119">
        <f>MEDIAN(J4:J7)</f>
        <v/>
      </c>
      <c r="K8" s="119">
        <f>MEDIAN(K4:K7)</f>
        <v/>
      </c>
    </row>
    <row r="10">
      <c r="B10" s="114" t="inlineStr">
        <is>
          <t>港股</t>
        </is>
      </c>
      <c r="C10" s="31" t="n"/>
      <c r="D10" s="31" t="n"/>
      <c r="E10" s="31" t="n"/>
      <c r="F10" s="31" t="n"/>
      <c r="G10" s="31" t="n"/>
      <c r="H10" s="31" t="n"/>
      <c r="I10" s="31" t="n"/>
      <c r="J10" s="31" t="n"/>
      <c r="K10" s="32" t="n"/>
    </row>
    <row r="11">
      <c r="B11" s="14" t="inlineStr">
        <is>
          <t>公司名称</t>
        </is>
      </c>
      <c r="C11" s="14" t="inlineStr">
        <is>
          <t>代码</t>
        </is>
      </c>
      <c r="D11" s="14" t="inlineStr">
        <is>
          <t>市值</t>
        </is>
      </c>
      <c r="E11" s="14" t="inlineStr">
        <is>
          <t>企业价值</t>
        </is>
      </c>
      <c r="F11" s="14" t="inlineStr">
        <is>
          <t>EV/Revenue LTM</t>
        </is>
      </c>
      <c r="G11" s="14" t="inlineStr">
        <is>
          <t>EV/Revenue NTM</t>
        </is>
      </c>
      <c r="H11" s="14" t="inlineStr">
        <is>
          <t>EV/EBITDA LTM</t>
        </is>
      </c>
      <c r="I11" s="14" t="inlineStr">
        <is>
          <t>EV/EBITDA NTM</t>
        </is>
      </c>
      <c r="J11" s="14" t="inlineStr">
        <is>
          <t>3Y CAGR</t>
        </is>
      </c>
      <c r="K11" s="14" t="inlineStr">
        <is>
          <t>备注</t>
        </is>
      </c>
    </row>
    <row r="12">
      <c r="B12" s="8" t="inlineStr">
        <is>
          <t>BYD</t>
        </is>
      </c>
      <c r="C12" s="8" t="inlineStr">
        <is>
          <t>1211.HK</t>
        </is>
      </c>
      <c r="D12" s="102" t="n">
        <v>950000</v>
      </c>
      <c r="E12" s="102" t="n">
        <v>880000</v>
      </c>
      <c r="F12" s="115" t="n">
        <v>1.8</v>
      </c>
      <c r="G12" s="115" t="n">
        <v>1.5</v>
      </c>
      <c r="H12" s="115" t="n">
        <v>12</v>
      </c>
      <c r="I12" s="115" t="n">
        <v>10</v>
      </c>
      <c r="J12" s="116" t="n">
        <v>0.42</v>
      </c>
      <c r="K12" s="8" t="inlineStr">
        <is>
          <t>China EV leader</t>
        </is>
      </c>
    </row>
    <row r="13">
      <c r="B13" s="11" t="inlineStr">
        <is>
          <t>Tencent</t>
        </is>
      </c>
      <c r="C13" s="11" t="inlineStr">
        <is>
          <t>0700.HK</t>
        </is>
      </c>
      <c r="D13" s="106" t="n">
        <v>450000</v>
      </c>
      <c r="E13" s="106" t="n">
        <v>420000</v>
      </c>
      <c r="F13" s="117" t="n">
        <v>4.5</v>
      </c>
      <c r="G13" s="117" t="n">
        <v>4</v>
      </c>
      <c r="H13" s="117" t="n">
        <v>18</v>
      </c>
      <c r="I13" s="117" t="n">
        <v>16</v>
      </c>
      <c r="J13" s="118" t="n">
        <v>0.1</v>
      </c>
      <c r="K13" s="11" t="inlineStr">
        <is>
          <t>Internet ecosystem</t>
        </is>
      </c>
    </row>
    <row r="14">
      <c r="B14" s="8" t="inlineStr">
        <is>
          <t>NIO</t>
        </is>
      </c>
      <c r="C14" s="8" t="inlineStr">
        <is>
          <t>NIO</t>
        </is>
      </c>
      <c r="D14" s="102" t="n">
        <v>150000</v>
      </c>
      <c r="E14" s="102" t="n">
        <v>170000</v>
      </c>
      <c r="F14" s="115" t="n">
        <v>2.5</v>
      </c>
      <c r="G14" s="115" t="n">
        <v>2</v>
      </c>
      <c r="H14" s="115" t="n">
        <v>-10</v>
      </c>
      <c r="I14" s="115" t="n">
        <v>-5</v>
      </c>
      <c r="J14" s="116" t="n">
        <v>0.3</v>
      </c>
      <c r="K14" s="8" t="inlineStr">
        <is>
          <t>Premium EV</t>
        </is>
      </c>
    </row>
    <row r="15">
      <c r="B15" s="49" t="inlineStr">
        <is>
          <t xml:space="preserve">  分组中位数 (港股)</t>
        </is>
      </c>
      <c r="C15" s="119">
        <f>MEDIAN(C12:C14)</f>
        <v/>
      </c>
      <c r="D15" s="119">
        <f>MEDIAN(D12:D14)</f>
        <v/>
      </c>
      <c r="E15" s="119">
        <f>MEDIAN(E12:E14)</f>
        <v/>
      </c>
      <c r="F15" s="119">
        <f>MEDIAN(F12:F14)</f>
        <v/>
      </c>
      <c r="G15" s="119">
        <f>MEDIAN(G12:G14)</f>
        <v/>
      </c>
      <c r="H15" s="119">
        <f>MEDIAN(H12:H14)</f>
        <v/>
      </c>
      <c r="I15" s="119">
        <f>MEDIAN(I12:I14)</f>
        <v/>
      </c>
      <c r="J15" s="119">
        <f>MEDIAN(J12:J14)</f>
        <v/>
      </c>
      <c r="K15" s="119">
        <f>MEDIAN(K12:K14)</f>
        <v/>
      </c>
    </row>
    <row r="17">
      <c r="B17" s="114" t="inlineStr">
        <is>
          <t>A股</t>
        </is>
      </c>
      <c r="C17" s="31" t="n"/>
      <c r="D17" s="31" t="n"/>
      <c r="E17" s="31" t="n"/>
      <c r="F17" s="31" t="n"/>
      <c r="G17" s="31" t="n"/>
      <c r="H17" s="31" t="n"/>
      <c r="I17" s="31" t="n"/>
      <c r="J17" s="31" t="n"/>
      <c r="K17" s="32" t="n"/>
    </row>
    <row r="18">
      <c r="B18" s="14" t="inlineStr">
        <is>
          <t>公司名称</t>
        </is>
      </c>
      <c r="C18" s="14" t="inlineStr">
        <is>
          <t>代码</t>
        </is>
      </c>
      <c r="D18" s="14" t="inlineStr">
        <is>
          <t>市值</t>
        </is>
      </c>
      <c r="E18" s="14" t="inlineStr">
        <is>
          <t>企业价值</t>
        </is>
      </c>
      <c r="F18" s="14" t="inlineStr">
        <is>
          <t>EV/Revenue LTM</t>
        </is>
      </c>
      <c r="G18" s="14" t="inlineStr">
        <is>
          <t>EV/Revenue NTM</t>
        </is>
      </c>
      <c r="H18" s="14" t="inlineStr">
        <is>
          <t>EV/EBITDA LTM</t>
        </is>
      </c>
      <c r="I18" s="14" t="inlineStr">
        <is>
          <t>EV/EBITDA NTM</t>
        </is>
      </c>
      <c r="J18" s="14" t="inlineStr">
        <is>
          <t>3Y CAGR</t>
        </is>
      </c>
      <c r="K18" s="14" t="inlineStr">
        <is>
          <t>备注</t>
        </is>
      </c>
    </row>
    <row r="19">
      <c r="B19" s="8" t="inlineStr">
        <is>
          <t>BYD</t>
        </is>
      </c>
      <c r="C19" s="8" t="inlineStr">
        <is>
          <t>002594.SZ</t>
        </is>
      </c>
      <c r="D19" s="102" t="n">
        <v>950000</v>
      </c>
      <c r="E19" s="102" t="n">
        <v>880000</v>
      </c>
      <c r="F19" s="115" t="n">
        <v>1.8</v>
      </c>
      <c r="G19" s="115" t="n">
        <v>1.5</v>
      </c>
      <c r="H19" s="115" t="n">
        <v>12</v>
      </c>
      <c r="I19" s="115" t="n">
        <v>10</v>
      </c>
      <c r="J19" s="116" t="n">
        <v>0.42</v>
      </c>
      <c r="K19" s="8" t="inlineStr">
        <is>
          <t>A-share listing</t>
        </is>
      </c>
    </row>
    <row r="20">
      <c r="B20" s="11" t="inlineStr">
        <is>
          <t>CATL</t>
        </is>
      </c>
      <c r="C20" s="11" t="inlineStr">
        <is>
          <t>300750.SZ</t>
        </is>
      </c>
      <c r="D20" s="106" t="n">
        <v>1100000</v>
      </c>
      <c r="E20" s="106" t="n">
        <v>1000000</v>
      </c>
      <c r="F20" s="117" t="n">
        <v>2.2</v>
      </c>
      <c r="G20" s="117" t="n">
        <v>1.8</v>
      </c>
      <c r="H20" s="117" t="n">
        <v>15</v>
      </c>
      <c r="I20" s="117" t="n">
        <v>12</v>
      </c>
      <c r="J20" s="118" t="n">
        <v>0.38</v>
      </c>
      <c r="K20" s="11" t="inlineStr">
        <is>
          <t>Battery leader</t>
        </is>
      </c>
    </row>
    <row r="21">
      <c r="B21" s="49" t="inlineStr">
        <is>
          <t xml:space="preserve">  分组中位数 (A股)</t>
        </is>
      </c>
      <c r="C21" s="119">
        <f>MEDIAN(C19:C20)</f>
        <v/>
      </c>
      <c r="D21" s="119">
        <f>MEDIAN(D19:D20)</f>
        <v/>
      </c>
      <c r="E21" s="119">
        <f>MEDIAN(E19:E20)</f>
        <v/>
      </c>
      <c r="F21" s="119">
        <f>MEDIAN(F19:F20)</f>
        <v/>
      </c>
      <c r="G21" s="119">
        <f>MEDIAN(G19:G20)</f>
        <v/>
      </c>
      <c r="H21" s="119">
        <f>MEDIAN(H19:H20)</f>
        <v/>
      </c>
      <c r="I21" s="119">
        <f>MEDIAN(I19:I20)</f>
        <v/>
      </c>
      <c r="J21" s="119">
        <f>MEDIAN(J19:J20)</f>
        <v/>
      </c>
      <c r="K21" s="119">
        <f>MEDIAN(K19:K20)</f>
        <v/>
      </c>
    </row>
    <row r="23">
      <c r="B23" s="110" t="inlineStr">
        <is>
          <t>中位数</t>
        </is>
      </c>
      <c r="C23" s="120">
        <f>MEDIAN(C5,C6,C7,C8,C13,C14,C15,C20,C21)</f>
        <v/>
      </c>
      <c r="D23" s="120">
        <f>MEDIAN(D5,D6,D7,D8,D13,D14,D15,D20,D21)</f>
        <v/>
      </c>
      <c r="E23" s="120">
        <f>MEDIAN(E5,E6,E7,E8,E13,E14,E15,E20,E21)</f>
        <v/>
      </c>
      <c r="F23" s="120">
        <f>MEDIAN(F5,F6,F7,F8,F13,F14,F15,F20,F21)</f>
        <v/>
      </c>
      <c r="G23" s="120">
        <f>MEDIAN(G5,G6,G7,G8,G13,G14,G15,G20,G21)</f>
        <v/>
      </c>
      <c r="H23" s="120">
        <f>MEDIAN(H5,H6,H7,H8,H13,H14,H15,H20,H21)</f>
        <v/>
      </c>
      <c r="I23" s="120">
        <f>MEDIAN(I5,I6,I7,I8,I13,I14,I15,I20,I21)</f>
        <v/>
      </c>
      <c r="J23" s="120">
        <f>MEDIAN(J5,J6,J7,J8,J13,J14,J15,J20,J21)</f>
        <v/>
      </c>
      <c r="K23" s="120">
        <f>MEDIAN(K5,K6,K7,K8,K13,K14,K15,K20,K21)</f>
        <v/>
      </c>
    </row>
  </sheetData>
  <mergeCells count="3">
    <mergeCell ref="B10:K10"/>
    <mergeCell ref="B17:K17"/>
    <mergeCell ref="B2:K2"/>
  </mergeCells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tabColor rgb="00ED7D31"/>
    <outlinePr summaryBelow="1" summaryRight="1"/>
    <pageSetUpPr/>
  </sheetPr>
  <dimension ref="B1:G19"/>
  <sheetViews>
    <sheetView workbookViewId="0">
      <selection activeCell="A1" sqref="A1"/>
    </sheetView>
  </sheetViews>
  <sheetFormatPr baseColWidth="8" defaultRowHeight="15"/>
  <cols>
    <col width="2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4" customWidth="1" min="7" max="7"/>
    <col width="14" customWidth="1" min="8" max="8"/>
    <col width="3" customWidth="1" min="9" max="9"/>
  </cols>
  <sheetData>
    <row r="1">
      <c r="B1" s="30" t="inlineStr">
        <is>
          <t>历史PE Band / Historical PE Band</t>
        </is>
      </c>
    </row>
    <row r="2"/>
    <row r="3">
      <c r="B3" s="8" t="inlineStr">
        <is>
          <t>当前PE</t>
        </is>
      </c>
      <c r="C3" s="121" t="n">
        <v>35</v>
      </c>
    </row>
    <row r="4">
      <c r="B4" s="8" t="inlineStr">
        <is>
          <t>前瞻PE(NTM)</t>
        </is>
      </c>
      <c r="C4" s="121" t="n">
        <v>28</v>
      </c>
    </row>
    <row r="5">
      <c r="B5" s="8" t="inlineStr">
        <is>
          <t>历史中位数</t>
        </is>
      </c>
      <c r="C5" s="121" t="n">
        <v>55</v>
      </c>
    </row>
    <row r="6"/>
    <row r="7">
      <c r="B7" s="14" t="inlineStr">
        <is>
          <t>期间</t>
        </is>
      </c>
      <c r="C7" s="14" t="inlineStr">
        <is>
          <t>最高</t>
        </is>
      </c>
      <c r="D7" s="14" t="inlineStr">
        <is>
          <t>最低</t>
        </is>
      </c>
      <c r="E7" s="14" t="inlineStr">
        <is>
          <t>收盘价</t>
        </is>
      </c>
      <c r="F7" s="14" t="inlineStr">
        <is>
          <t>EPS</t>
        </is>
      </c>
      <c r="G7" s="14" t="inlineStr">
        <is>
          <t>Close PE</t>
        </is>
      </c>
    </row>
    <row r="8">
      <c r="B8" s="103" t="inlineStr">
        <is>
          <t>FY2021</t>
        </is>
      </c>
      <c r="C8" s="122" t="n">
        <v>120</v>
      </c>
      <c r="D8" s="122" t="n">
        <v>45</v>
      </c>
      <c r="E8" s="122" t="n">
        <v>95</v>
      </c>
      <c r="F8" s="123" t="n">
        <v>2.5</v>
      </c>
      <c r="G8" s="115">
        <f>IF(F8=0,"",E8/F8)</f>
        <v/>
      </c>
    </row>
    <row r="9">
      <c r="B9" s="107" t="inlineStr">
        <is>
          <t>FY2022</t>
        </is>
      </c>
      <c r="C9" s="124" t="n">
        <v>100</v>
      </c>
      <c r="D9" s="124" t="n">
        <v>30</v>
      </c>
      <c r="E9" s="124" t="n">
        <v>55</v>
      </c>
      <c r="F9" s="125" t="n">
        <v>3.2</v>
      </c>
      <c r="G9" s="117">
        <f>IF(F9=0,"",E9/F9)</f>
        <v/>
      </c>
    </row>
    <row r="10">
      <c r="B10" s="103" t="inlineStr">
        <is>
          <t>FY2023</t>
        </is>
      </c>
      <c r="C10" s="122" t="n">
        <v>80</v>
      </c>
      <c r="D10" s="122" t="n">
        <v>25</v>
      </c>
      <c r="E10" s="122" t="n">
        <v>48</v>
      </c>
      <c r="F10" s="123" t="n">
        <v>4.1</v>
      </c>
      <c r="G10" s="115">
        <f>IF(F10=0,"",E10/F10)</f>
        <v/>
      </c>
    </row>
    <row r="11">
      <c r="B11" s="107" t="inlineStr">
        <is>
          <t>FY2024</t>
        </is>
      </c>
      <c r="C11" s="124" t="n">
        <v>70</v>
      </c>
      <c r="D11" s="124" t="n">
        <v>20</v>
      </c>
      <c r="E11" s="124" t="n">
        <v>42</v>
      </c>
      <c r="F11" s="125" t="n">
        <v>5</v>
      </c>
      <c r="G11" s="117">
        <f>IF(F11=0,"",E11/F11)</f>
        <v/>
      </c>
    </row>
    <row r="12">
      <c r="B12" s="103" t="inlineStr">
        <is>
          <t>FY2025</t>
        </is>
      </c>
      <c r="C12" s="122" t="n">
        <v>65</v>
      </c>
      <c r="D12" s="122" t="n">
        <v>22</v>
      </c>
      <c r="E12" s="122" t="n">
        <v>38</v>
      </c>
      <c r="F12" s="123" t="n">
        <v>5.8</v>
      </c>
      <c r="G12" s="115">
        <f>IF(F12=0,"",E12/F12)</f>
        <v/>
      </c>
    </row>
    <row r="13"/>
    <row r="14">
      <c r="B14" s="49" t="inlineStr">
        <is>
          <t>中位数</t>
        </is>
      </c>
      <c r="G14" s="126">
        <f>MEDIAN(G8:G12)</f>
        <v/>
      </c>
    </row>
    <row r="15">
      <c r="B15" s="49" t="inlineStr">
        <is>
          <t>平均值</t>
        </is>
      </c>
      <c r="G15" s="126">
        <f>AVERAGE(G8:G12)</f>
        <v/>
      </c>
    </row>
    <row r="16">
      <c r="B16" s="49" t="inlineStr">
        <is>
          <t>Max</t>
        </is>
      </c>
      <c r="G16" s="126">
        <f>MAX(G8:G12)</f>
        <v/>
      </c>
    </row>
    <row r="17">
      <c r="B17" s="49" t="inlineStr">
        <is>
          <t>Min</t>
        </is>
      </c>
      <c r="G17" s="126">
        <f>MIN(G8:G12)</f>
        <v/>
      </c>
    </row>
    <row r="19">
      <c r="B19" s="29" t="inlineStr">
        <is>
          <t>注：黄色虚线为中位数PE，红色虚线为当前PE</t>
        </is>
      </c>
    </row>
  </sheetData>
  <pageMargins left="0.75" right="0.75" top="1" bottom="1" header="0.5" footer="0.5"/>
  <pageSetup orientation="landscape" fitToHeight="0" fitToWidth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2026-06-13T02:15:16Z</dcterms:created>
  <dcterms:modified xmlns:dcterms="http://purl.org/dc/terms/" xmlns:xsi="http://www.w3.org/2001/XMLSchema-instance" xsi:type="dcterms:W3CDTF">2026-06-13T02:15:16Z</dcterms:modified>
</cp:coreProperties>
</file>